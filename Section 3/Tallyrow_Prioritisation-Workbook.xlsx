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ICE · Tallyrow" sheetId="2" state="visible" r:id="rId2"/>
    <sheet xmlns:r="http://schemas.openxmlformats.org/officeDocument/2006/relationships" name="RICE · your backlog" sheetId="3" state="visible" r:id="rId3"/>
    <sheet xmlns:r="http://schemas.openxmlformats.org/officeDocument/2006/relationships" name="Weighted · Tallyrow" sheetId="4" state="visible" r:id="rId4"/>
    <sheet xmlns:r="http://schemas.openxmlformats.org/officeDocument/2006/relationships" name="Weighted · your backlog" sheetId="5" state="visible" r:id="rId5"/>
    <sheet xmlns:r="http://schemas.openxmlformats.org/officeDocument/2006/relationships" name="ICE · experiments" sheetId="6" state="visible" r:id="rId6"/>
    <sheet xmlns:r="http://schemas.openxmlformats.org/officeDocument/2006/relationships" name="MoSCoW · Tallyrow" sheetId="7" state="visible" r:id="rId7"/>
    <sheet xmlns:r="http://schemas.openxmlformats.org/officeDocument/2006/relationships" name="MoSCoW · your release" sheetId="8" state="visible" r:id="rId8"/>
    <sheet xmlns:r="http://schemas.openxmlformats.org/officeDocument/2006/relationships" name="CD3 · Tallyrow" sheetId="9" state="visible" r:id="rId9"/>
    <sheet xmlns:r="http://schemas.openxmlformats.org/officeDocument/2006/relationships" name="CD3 · your top five" sheetId="10" state="visible" r:id="rId10"/>
    <sheet xmlns:r="http://schemas.openxmlformats.org/officeDocument/2006/relationships" name="WSJF · Tallyrow" sheetId="11" state="visible" r:id="rId11"/>
    <sheet xmlns:r="http://schemas.openxmlformats.org/officeDocument/2006/relationships" name="WSJF · your backlog" sheetId="12" state="visible" r:id="rId12"/>
    <sheet xmlns:r="http://schemas.openxmlformats.org/officeDocument/2006/relationships" name="Ancho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1B1A21"/>
      <sz val="18"/>
    </font>
    <font>
      <name val="Arial"/>
      <b val="1"/>
      <color rgb="002451D1"/>
    </font>
    <font>
      <name val="Arial"/>
      <color rgb="001B1A21"/>
    </font>
    <font>
      <name val="Arial"/>
      <b val="1"/>
      <color rgb="001B1A21"/>
    </font>
    <font>
      <name val="Arial"/>
      <i val="1"/>
      <color rgb="005B5866"/>
    </font>
    <font>
      <name val="Arial"/>
      <color rgb="005B5866"/>
    </font>
    <font>
      <name val="Arial"/>
      <b val="1"/>
      <color rgb="001B1A21"/>
      <sz val="16"/>
    </font>
    <font>
      <name val="Arial"/>
      <b val="1"/>
      <color rgb="00FFFFFF"/>
      <sz val="10.5"/>
    </font>
    <font>
      <name val="Arial"/>
      <b val="1"/>
      <color rgb="001B1A21"/>
      <sz val="10.5"/>
    </font>
    <font>
      <name val="Arial"/>
      <color rgb="001B1A21"/>
      <sz val="11"/>
    </font>
    <font>
      <name val="Arial"/>
      <b val="1"/>
      <color rgb="001B1A21"/>
      <sz val="11"/>
    </font>
    <font>
      <name val="Arial"/>
      <i val="1"/>
      <color rgb="005B5866"/>
      <sz val="10"/>
    </font>
    <font>
      <name val="Arial"/>
      <b val="1"/>
      <color rgb="001B1A21"/>
      <sz val="15"/>
    </font>
    <font>
      <name val="Arial"/>
      <color rgb="005B5866"/>
      <sz val="11"/>
    </font>
    <font>
      <name val="Arial"/>
      <b val="1"/>
      <color rgb="00FFFFFF"/>
      <sz val="10"/>
    </font>
    <font>
      <name val="Arial"/>
      <b val="1"/>
      <color rgb="002451D1"/>
      <sz val="13"/>
    </font>
    <font>
      <name val="Arial"/>
      <b val="1"/>
      <color rgb="001B1A21"/>
      <sz val="12"/>
    </font>
    <font>
      <name val="Arial"/>
      <b val="1"/>
      <color rgb="005B5866"/>
      <sz val="11"/>
    </font>
    <font>
      <name val="Arial"/>
      <color rgb="002451D1"/>
      <sz val="11"/>
    </font>
    <font>
      <name val="Arial"/>
      <color rgb="001B1A21"/>
      <sz val="10.5"/>
    </font>
    <font>
      <name val="Arial"/>
      <b val="1"/>
      <color rgb="002451D1"/>
      <sz val="10.5"/>
    </font>
    <font>
      <name val="Arial"/>
      <b val="1"/>
      <color rgb="002451D1"/>
      <sz val="12"/>
    </font>
    <font>
      <name val="Arial"/>
      <b val="1"/>
      <color rgb="002451D1"/>
      <sz val="11"/>
    </font>
    <font>
      <name val="Arial"/>
      <b val="1"/>
      <color rgb="005B5866"/>
      <sz val="10"/>
    </font>
    <font>
      <name val="Arial"/>
      <b val="1"/>
      <color rgb="001B1A21"/>
      <sz val="10"/>
    </font>
  </fonts>
  <fills count="7">
    <fill>
      <patternFill/>
    </fill>
    <fill>
      <patternFill patternType="gray125"/>
    </fill>
    <fill>
      <patternFill patternType="solid">
        <fgColor rgb="001B1A21"/>
      </patternFill>
    </fill>
    <fill>
      <patternFill patternType="solid">
        <fgColor rgb="00ECE8DF"/>
      </patternFill>
    </fill>
    <fill>
      <patternFill patternType="solid">
        <fgColor rgb="00FFFFFE"/>
      </patternFill>
    </fill>
    <fill>
      <patternFill patternType="solid">
        <fgColor rgb="00EEF2FC"/>
      </patternFill>
    </fill>
    <fill>
      <patternFill patternType="solid">
        <fgColor rgb="002451D1"/>
      </patternFill>
    </fill>
  </fills>
  <borders count="2">
    <border>
      <left/>
      <right/>
      <top/>
      <bottom/>
      <diagonal/>
    </border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3" fontId="10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9" fontId="10" fillId="4" borderId="1" applyAlignment="1" pivotButton="0" quotePrefix="0" xfId="0">
      <alignment horizontal="center" vertical="center"/>
    </xf>
    <xf numFmtId="3" fontId="10" fillId="5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3" fontId="10" fillId="0" borderId="1" applyAlignment="1" pivotButton="0" quotePrefix="0" xfId="0">
      <alignment horizontal="right" vertical="center"/>
    </xf>
    <xf numFmtId="0" fontId="12" fillId="0" borderId="0" pivotButton="0" quotePrefix="0" xfId="0"/>
    <xf numFmtId="0" fontId="15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/>
    </xf>
    <xf numFmtId="9" fontId="16" fillId="4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4" borderId="1" pivotButton="0" quotePrefix="0" xfId="0"/>
    <xf numFmtId="0" fontId="10" fillId="4" borderId="1" applyAlignment="1" pivotButton="0" quotePrefix="0" xfId="0">
      <alignment horizontal="center" vertical="center"/>
    </xf>
    <xf numFmtId="2" fontId="11" fillId="5" borderId="1" applyAlignment="1" pivotButton="0" quotePrefix="0" xfId="0">
      <alignment horizontal="center" vertical="center"/>
    </xf>
    <xf numFmtId="2" fontId="10" fillId="0" borderId="1" applyAlignment="1" pivotButton="0" quotePrefix="0" xfId="0">
      <alignment horizontal="center" vertical="center"/>
    </xf>
    <xf numFmtId="0" fontId="17" fillId="0" borderId="0" pivotButton="0" quotePrefix="0" xfId="0"/>
    <xf numFmtId="0" fontId="6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/>
    </xf>
    <xf numFmtId="0" fontId="11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center" vertical="center"/>
    </xf>
    <xf numFmtId="9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9" fontId="10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  <xf numFmtId="1" fontId="10" fillId="0" borderId="1" applyAlignment="1" pivotButton="0" quotePrefix="0" xfId="0">
      <alignment horizontal="center" vertical="center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14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applyAlignment="1" pivotButton="0" quotePrefix="0" xfId="0">
      <alignment horizontal="center"/>
    </xf>
    <xf numFmtId="0" fontId="13" fillId="0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/>
    </xf>
    <xf numFmtId="9" fontId="10" fillId="0" borderId="0" applyAlignment="1" pivotButton="0" quotePrefix="0" xfId="0">
      <alignment vertical="top"/>
    </xf>
  </cellXfs>
  <cellStyles count="1">
    <cellStyle name="Normal" xfId="0" builtinId="0" hidden="0"/>
  </cellStyles>
  <dxfs count="6">
    <dxf>
      <font>
        <b val="1"/>
        <color rgb="00A15C07"/>
      </font>
      <fill>
        <patternFill patternType="solid">
          <fgColor rgb="00F6E7CF"/>
        </patternFill>
      </fill>
    </dxf>
    <dxf>
      <font>
        <b val="1"/>
        <color rgb="002451D1"/>
      </font>
      <fill>
        <patternFill patternType="solid">
          <fgColor rgb="00DCE4FA"/>
        </patternFill>
      </fill>
    </dxf>
    <dxf>
      <font>
        <b val="1"/>
        <color rgb="002451D1"/>
      </font>
    </dxf>
    <dxf>
      <font>
        <color rgb="005B5866"/>
      </font>
    </dxf>
    <dxf>
      <font>
        <b val="1"/>
        <color rgb="00B3261E"/>
      </font>
      <fill>
        <patternFill patternType="solid">
          <fgColor rgb="00F7DEDC"/>
        </patternFill>
      </fill>
    </dxf>
    <dxf>
      <font>
        <b val="1"/>
        <color rgb="00047857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Tallyrow prioritisation workbook</t>
        </is>
      </c>
    </row>
    <row r="2">
      <c r="A2" s="2" t="inlineStr">
        <is>
          <t>Product Management Models &amp; Measurements · Prioritisation models</t>
        </is>
      </c>
    </row>
    <row r="3">
      <c r="A3" t="inlineStr"/>
    </row>
    <row r="4">
      <c r="A4" s="3" t="inlineStr">
        <is>
          <t>Tallyrow is a fictional invoicing and payments app. Every number in this workbook is invented for teaching.</t>
        </is>
      </c>
    </row>
    <row r="5">
      <c r="A5" t="inlineStr"/>
    </row>
    <row r="6">
      <c r="A6" s="4" t="inlineStr">
        <is>
          <t>Tabs</t>
        </is>
      </c>
    </row>
    <row r="7">
      <c r="A7" s="3" t="inlineStr">
        <is>
          <t>RICE · Tallyrow: the quarter's eight backlog items, scored with honest inputs and a live ranked view.</t>
        </is>
      </c>
    </row>
    <row r="8">
      <c r="A8" s="3" t="inlineStr">
        <is>
          <t>RICE · your backlog: the same sheet, blank. Fill the grey input columns; the score, rank and ranked view update.</t>
        </is>
      </c>
    </row>
    <row r="9">
      <c r="A9" s="3" t="inlineStr">
        <is>
          <t>Weighted · Tallyrow: four criteria and weights agreed before scoring, the eight items scored 1-5, a live ranked view.</t>
        </is>
      </c>
    </row>
    <row r="10">
      <c r="A10" s="3" t="inlineStr">
        <is>
          <t>Weighted · your backlog: blank. Agree the criteria, weights and anchors, and date them, before anyone scores.</t>
        </is>
      </c>
    </row>
    <row r="11">
      <c r="A11" s="3" t="inlineStr">
        <is>
          <t>ICE · experiments: small, cheap tests scored Impact × Confidence × Ease, plus blank rows for your own.</t>
        </is>
      </c>
    </row>
    <row r="12">
      <c r="A12" s="3" t="inlineStr">
        <is>
          <t>MoSCoW · Tallyrow: the quarter fitted to 10 person-months. Musts at 60%, Should 20%, Could 20%, five Won'ts.</t>
        </is>
      </c>
    </row>
    <row r="13">
      <c r="A13" s="3" t="inlineStr">
        <is>
          <t>MoSCoW · your release: blank. Set your capacity, place every item, keep the Musts at or under about 60%.</t>
        </is>
      </c>
    </row>
    <row r="14">
      <c r="A14" s="3" t="inlineStr">
        <is>
          <t>CD3 · Tallyrow: cost of delay ÷ duration, ranked; plus the dates-first block (e-invoicing starts by week 3) and smart reminders' range.</t>
        </is>
      </c>
    </row>
    <row r="15">
      <c r="A15" s="3" t="inlineStr">
        <is>
          <t>CD3 · your top five: blank. A weekly cost of delay and a duration per item; then list any item with a date the ranking can't see.</t>
        </is>
      </c>
    </row>
    <row r="16">
      <c r="A16" s="3" t="inlineStr">
        <is>
          <t>WSJF · Tallyrow: SAFe's three cost-of-delay columns and job size on the modified Fibonacci scale, ranked.</t>
        </is>
      </c>
    </row>
    <row r="17">
      <c r="A17" s="3" t="inlineStr">
        <is>
          <t>WSJF · your backlog: blank. Score one column at a time; the smallest item in each column gets a 1.</t>
        </is>
      </c>
    </row>
    <row r="18">
      <c r="A18" s="3" t="inlineStr">
        <is>
          <t>Anchors: RICE's unit, impact scale, confidence rule and effort rule.</t>
        </is>
      </c>
    </row>
    <row r="19">
      <c r="A19" s="5" t="inlineStr">
        <is>
          <t>Every prioritisation model from the course is here. Same eight items, several rankings: compare them before you decide.</t>
        </is>
      </c>
    </row>
    <row r="20">
      <c r="A20" t="inlineStr"/>
    </row>
    <row r="21">
      <c r="A21" s="6" t="inlineStr">
        <is>
          <t>Google Sheets: File &gt; Import &gt; Upload, or open from Drive. Dropdowns and formulas carry over.</t>
        </is>
      </c>
    </row>
    <row r="22">
      <c r="A22" s="6" t="inlineStr">
        <is>
          <t>Sources: RICE, Sean McBride, Intercom, 5 Jan 2018. ICE, credited to Sean Ellis. MoSCoW, Dai Clegg (1994), DSDM / Agile Business Consortium. CD3, Black Swan Farming. WSJF, SAFe (Scaled Agile Framework).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451D1"/>
    <outlinePr summaryBelow="1" summaryRight="1"/>
    <pageSetUpPr fitToPage="1"/>
  </sheetPr>
  <dimension ref="A1:P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11" customWidth="1" min="4" max="4"/>
    <col width="20" customWidth="1" min="5" max="5"/>
    <col width="9" customWidth="1" min="6" max="6"/>
    <col width="9" customWidth="1" min="7" max="7"/>
    <col width="12" customWidth="1" min="8" max="8"/>
    <col width="11" customWidth="1" min="9" max="9"/>
    <col width="12" customWidth="1" min="10" max="10"/>
    <col width="7" customWidth="1" min="11" max="11"/>
    <col width="58" customWidth="1" min="12" max="12"/>
    <col width="3" customWidth="1" min="13" max="13"/>
    <col width="7" customWidth="1" min="14" max="14"/>
    <col width="24" customWidth="1" min="15" max="15"/>
    <col width="12" customWidth="1" min="16" max="16"/>
  </cols>
  <sheetData>
    <row r="1">
      <c r="A1" s="7" t="inlineStr">
        <is>
          <t>RICE · Tallyrow backlog (honest inputs)</t>
        </is>
      </c>
    </row>
    <row r="2">
      <c r="A2" s="5" t="inlineStr">
        <is>
          <t>One unit, one impact anchor, one evidence rule. Change any grey input and watch the ranked view.</t>
        </is>
      </c>
    </row>
    <row r="4" ht="30" customHeight="1">
      <c r="A4" s="8" t="inlineStr">
        <is>
          <t>#</t>
        </is>
      </c>
      <c r="B4" s="8" t="inlineStr">
        <is>
          <t>Item</t>
        </is>
      </c>
      <c r="C4" s="8" t="inlineStr">
        <is>
          <t>Squad</t>
        </is>
      </c>
      <c r="D4" s="8" t="inlineStr">
        <is>
          <t>Reach</t>
        </is>
      </c>
      <c r="E4" s="8" t="inlineStr">
        <is>
          <t>Reach unit</t>
        </is>
      </c>
      <c r="F4" s="8" t="inlineStr">
        <is>
          <t>Unit check</t>
        </is>
      </c>
      <c r="G4" s="8" t="inlineStr">
        <is>
          <t>Impact</t>
        </is>
      </c>
      <c r="H4" s="8" t="inlineStr">
        <is>
          <t>Confidence</t>
        </is>
      </c>
      <c r="I4" s="8" t="inlineStr">
        <is>
          <t>Effort (p-m)</t>
        </is>
      </c>
      <c r="J4" s="8" t="inlineStr">
        <is>
          <t>RICE score</t>
        </is>
      </c>
      <c r="K4" s="8" t="inlineStr">
        <is>
          <t>Rank</t>
        </is>
      </c>
      <c r="L4" s="8" t="inlineStr">
        <is>
          <t>Evidence (why this confidence?)</t>
        </is>
      </c>
      <c r="N4" s="9" t="inlineStr">
        <is>
          <t>Rank</t>
        </is>
      </c>
      <c r="O4" s="9" t="inlineStr">
        <is>
          <t>Ranked view</t>
        </is>
      </c>
      <c r="P4" s="9" t="inlineStr">
        <is>
          <t>Score</t>
        </is>
      </c>
    </row>
    <row r="5" ht="34" customHeight="1">
      <c r="A5" s="10" t="n">
        <v>1</v>
      </c>
      <c r="B5" s="11" t="inlineStr">
        <is>
          <t>Payment link</t>
        </is>
      </c>
      <c r="C5" s="12" t="inlineStr">
        <is>
          <t>Get Paid</t>
        </is>
      </c>
      <c r="D5" s="13" t="n">
        <v>12000</v>
      </c>
      <c r="E5" s="14" t="inlineStr">
        <is>
          <t>businesses / quarter</t>
        </is>
      </c>
      <c r="F5" s="10">
        <f>IF(E5="","",IF(E5=Anchors!$B$4,"✓","✗ unit"))</f>
        <v/>
      </c>
      <c r="G5" s="15" t="n">
        <v>2</v>
      </c>
      <c r="H5" s="16" t="n">
        <v>0.8</v>
      </c>
      <c r="I5" s="15" t="n">
        <v>2</v>
      </c>
      <c r="J5" s="17">
        <f>IF(COUNT(D5,G5,H5,I5)&lt;4,"",D5*G5*H5/I5)</f>
        <v/>
      </c>
      <c r="K5" s="10">
        <f>IF(J5="","",RANK(J5,$J$5:$J$12)+COUNTIF($J$5:J5,J5)-1)</f>
        <v/>
      </c>
      <c r="L5" s="18" t="inlineStr">
        <is>
          <t>Reach: support-ticket and usage data. Impact: no measured lift yet. Effort: engineering estimate.</t>
        </is>
      </c>
      <c r="N5" s="19" t="n">
        <v>1</v>
      </c>
      <c r="O5" s="20">
        <f>IFERROR(INDEX($B$5:$B$12,MATCH(N5,$K$5:$K$12,0)),"")</f>
        <v/>
      </c>
      <c r="P5" s="21">
        <f>IFERROR(INDEX($J$5:$J$12,MATCH(N5,$K$5:$K$12,0)),"")</f>
        <v/>
      </c>
    </row>
    <row r="6" ht="34" customHeight="1">
      <c r="A6" s="10" t="n">
        <v>2</v>
      </c>
      <c r="B6" s="11" t="inlineStr">
        <is>
          <t>Smart reminders</t>
        </is>
      </c>
      <c r="C6" s="12" t="inlineStr">
        <is>
          <t>Get Paid</t>
        </is>
      </c>
      <c r="D6" s="13" t="n">
        <v>24000</v>
      </c>
      <c r="E6" s="14" t="inlineStr">
        <is>
          <t>businesses / quarter</t>
        </is>
      </c>
      <c r="F6" s="10">
        <f>IF(E6="","",IF(E6=Anchors!$B$4,"✓","✗ unit"))</f>
        <v/>
      </c>
      <c r="G6" s="15" t="n">
        <v>2</v>
      </c>
      <c r="H6" s="16" t="n">
        <v>0.5</v>
      </c>
      <c r="I6" s="15" t="n">
        <v>4</v>
      </c>
      <c r="J6" s="17">
        <f>IF(COUNT(D6,G6,H6,I6)&lt;4,"",D6*G6*H6/I6)</f>
        <v/>
      </c>
      <c r="K6" s="10">
        <f>IF(J6="","",RANK(J6,$J$5:$J$12)+COUNTIF($J$5:J6,J6)-1)</f>
        <v/>
      </c>
      <c r="L6" s="18" t="inlineStr">
        <is>
          <t>Timing model not built. Impact borrowed from a competitor's demo. Reach assumes every reminder sender adopts it.</t>
        </is>
      </c>
      <c r="N6" s="19" t="n">
        <v>2</v>
      </c>
      <c r="O6" s="20">
        <f>IFERROR(INDEX($B$5:$B$12,MATCH(N6,$K$5:$K$12,0)),"")</f>
        <v/>
      </c>
      <c r="P6" s="21">
        <f>IFERROR(INDEX($J$5:$J$12,MATCH(N6,$K$5:$K$12,0)),"")</f>
        <v/>
      </c>
    </row>
    <row r="7" ht="34" customHeight="1">
      <c r="A7" s="10" t="n">
        <v>3</v>
      </c>
      <c r="B7" s="11" t="inlineStr">
        <is>
          <t>Recurring invoices</t>
        </is>
      </c>
      <c r="C7" s="12" t="inlineStr">
        <is>
          <t>Invoicing</t>
        </is>
      </c>
      <c r="D7" s="13" t="n">
        <v>8000</v>
      </c>
      <c r="E7" s="14" t="inlineStr">
        <is>
          <t>businesses / quarter</t>
        </is>
      </c>
      <c r="F7" s="10">
        <f>IF(E7="","",IF(E7=Anchors!$B$4,"✓","✗ unit"))</f>
        <v/>
      </c>
      <c r="G7" s="15" t="n">
        <v>1</v>
      </c>
      <c r="H7" s="16" t="n">
        <v>1</v>
      </c>
      <c r="I7" s="15" t="n">
        <v>2</v>
      </c>
      <c r="J7" s="17">
        <f>IF(COUNT(D7,G7,H7,I7)&lt;4,"",D7*G7*H7/I7)</f>
        <v/>
      </c>
      <c r="K7" s="10">
        <f>IF(J7="","",RANK(J7,$J$5:$J$12)+COUNTIF($J$5:J7,J7)-1)</f>
        <v/>
      </c>
      <c r="L7" s="18" t="inlineStr">
        <is>
          <t>Reach: account data. Impact: top request on the feedback board. Effort: engineering estimate.</t>
        </is>
      </c>
      <c r="N7" s="19" t="n">
        <v>3</v>
      </c>
      <c r="O7" s="20">
        <f>IFERROR(INDEX($B$5:$B$12,MATCH(N7,$K$5:$K$12,0)),"")</f>
        <v/>
      </c>
      <c r="P7" s="21">
        <f>IFERROR(INDEX($J$5:$J$12,MATCH(N7,$K$5:$K$12,0)),"")</f>
        <v/>
      </c>
    </row>
    <row r="8" ht="34" customHeight="1">
      <c r="A8" s="10" t="n">
        <v>4</v>
      </c>
      <c r="B8" s="11" t="inlineStr">
        <is>
          <t>E-invoicing</t>
        </is>
      </c>
      <c r="C8" s="12" t="inlineStr">
        <is>
          <t>Platform &amp; Compliance</t>
        </is>
      </c>
      <c r="D8" s="13" t="n">
        <v>3000</v>
      </c>
      <c r="E8" s="14" t="inlineStr">
        <is>
          <t>businesses / quarter</t>
        </is>
      </c>
      <c r="F8" s="10">
        <f>IF(E8="","",IF(E8=Anchors!$B$4,"✓","✗ unit"))</f>
        <v/>
      </c>
      <c r="G8" s="15" t="n">
        <v>3</v>
      </c>
      <c r="H8" s="16" t="n">
        <v>0.8</v>
      </c>
      <c r="I8" s="15" t="n">
        <v>4</v>
      </c>
      <c r="J8" s="17">
        <f>IF(COUNT(D8,G8,H8,I8)&lt;4,"",D8*G8*H8/I8)</f>
        <v/>
      </c>
      <c r="K8" s="10">
        <f>IF(J8="","",RANK(J8,$J$5:$J$12)+COUNTIF($J$5:J8,J8)-1)</f>
        <v/>
      </c>
      <c r="L8" s="18" t="inlineStr">
        <is>
          <t>Reach: businesses in the one market. Impact: legally required there. Effort depends on the regulator's spec.</t>
        </is>
      </c>
      <c r="N8" s="19" t="n">
        <v>4</v>
      </c>
      <c r="O8" s="20">
        <f>IFERROR(INDEX($B$5:$B$12,MATCH(N8,$K$5:$K$12,0)),"")</f>
        <v/>
      </c>
      <c r="P8" s="21">
        <f>IFERROR(INDEX($J$5:$J$12,MATCH(N8,$K$5:$K$12,0)),"")</f>
        <v/>
      </c>
    </row>
    <row r="9" ht="34" customHeight="1">
      <c r="A9" s="10" t="n">
        <v>5</v>
      </c>
      <c r="B9" s="11" t="inlineStr">
        <is>
          <t>Multi-currency</t>
        </is>
      </c>
      <c r="C9" s="12" t="inlineStr">
        <is>
          <t>Invoicing</t>
        </is>
      </c>
      <c r="D9" s="13" t="n">
        <v>1500</v>
      </c>
      <c r="E9" s="14" t="inlineStr">
        <is>
          <t>businesses / quarter</t>
        </is>
      </c>
      <c r="F9" s="10">
        <f>IF(E9="","",IF(E9=Anchors!$B$4,"✓","✗ unit"))</f>
        <v/>
      </c>
      <c r="G9" s="15" t="n">
        <v>2</v>
      </c>
      <c r="H9" s="16" t="n">
        <v>0.8</v>
      </c>
      <c r="I9" s="15" t="n">
        <v>2</v>
      </c>
      <c r="J9" s="17">
        <f>IF(COUNT(D9,G9,H9,I9)&lt;4,"",D9*G9*H9/I9)</f>
        <v/>
      </c>
      <c r="K9" s="10">
        <f>IF(J9="","",RANK(J9,$J$5:$J$12)+COUNTIF($J$5:J9,J9)-1)</f>
        <v/>
      </c>
      <c r="L9" s="18" t="inlineStr">
        <is>
          <t>Reach: one large agency deal plus a few accounts. Impact: sales input. Effort: engineering estimate.</t>
        </is>
      </c>
      <c r="N9" s="19" t="n">
        <v>5</v>
      </c>
      <c r="O9" s="20">
        <f>IFERROR(INDEX($B$5:$B$12,MATCH(N9,$K$5:$K$12,0)),"")</f>
        <v/>
      </c>
      <c r="P9" s="21">
        <f>IFERROR(INDEX($J$5:$J$12,MATCH(N9,$K$5:$K$12,0)),"")</f>
        <v/>
      </c>
    </row>
    <row r="10" ht="34" customHeight="1">
      <c r="A10" s="10" t="n">
        <v>6</v>
      </c>
      <c r="B10" s="11" t="inlineStr">
        <is>
          <t>Client portal</t>
        </is>
      </c>
      <c r="C10" s="12" t="inlineStr">
        <is>
          <t>Invoicing</t>
        </is>
      </c>
      <c r="D10" s="13" t="n">
        <v>15000</v>
      </c>
      <c r="E10" s="14" t="inlineStr">
        <is>
          <t>businesses / quarter</t>
        </is>
      </c>
      <c r="F10" s="10">
        <f>IF(E10="","",IF(E10=Anchors!$B$4,"✓","✗ unit"))</f>
        <v/>
      </c>
      <c r="G10" s="15" t="n">
        <v>1</v>
      </c>
      <c r="H10" s="16" t="n">
        <v>0.8</v>
      </c>
      <c r="I10" s="15" t="n">
        <v>6</v>
      </c>
      <c r="J10" s="17">
        <f>IF(COUNT(D10,G10,H10,I10)&lt;4,"",D10*G10*H10/I10)</f>
        <v/>
      </c>
      <c r="K10" s="10">
        <f>IF(J10="","",RANK(J10,$J$5:$J$12)+COUNTIF($J$5:J10,J10)-1)</f>
        <v/>
      </c>
      <c r="L10" s="18" t="inlineStr">
        <is>
          <t>Impact anchored to invoices paid on time: some lift, so medium. Effort: design and engineering estimate.</t>
        </is>
      </c>
      <c r="N10" s="19" t="n">
        <v>6</v>
      </c>
      <c r="O10" s="20">
        <f>IFERROR(INDEX($B$5:$B$12,MATCH(N10,$K$5:$K$12,0)),"")</f>
        <v/>
      </c>
      <c r="P10" s="21">
        <f>IFERROR(INDEX($J$5:$J$12,MATCH(N10,$K$5:$K$12,0)),"")</f>
        <v/>
      </c>
    </row>
    <row r="11" ht="34" customHeight="1">
      <c r="A11" s="10" t="n">
        <v>7</v>
      </c>
      <c r="B11" s="11" t="inlineStr">
        <is>
          <t>Late-fee automation</t>
        </is>
      </c>
      <c r="C11" s="12" t="inlineStr">
        <is>
          <t>Get Paid</t>
        </is>
      </c>
      <c r="D11" s="13" t="n">
        <v>6000</v>
      </c>
      <c r="E11" s="14" t="inlineStr">
        <is>
          <t>businesses / quarter</t>
        </is>
      </c>
      <c r="F11" s="10">
        <f>IF(E11="","",IF(E11=Anchors!$B$4,"✓","✗ unit"))</f>
        <v/>
      </c>
      <c r="G11" s="15" t="n">
        <v>1</v>
      </c>
      <c r="H11" s="16" t="n">
        <v>0.8</v>
      </c>
      <c r="I11" s="15" t="n">
        <v>2</v>
      </c>
      <c r="J11" s="17">
        <f>IF(COUNT(D11,G11,H11,I11)&lt;4,"",D11*G11*H11/I11)</f>
        <v/>
      </c>
      <c r="K11" s="10">
        <f>IF(J11="","",RANK(J11,$J$5:$J$12)+COUNTIF($J$5:J11,J11)-1)</f>
        <v/>
      </c>
      <c r="L11" s="18" t="inlineStr">
        <is>
          <t>Reach: accounts with overdue invoices. Not scored by RICE: risk to clients' relationships (guardrail).</t>
        </is>
      </c>
      <c r="N11" s="19" t="n">
        <v>7</v>
      </c>
      <c r="O11" s="20">
        <f>IFERROR(INDEX($B$5:$B$12,MATCH(N11,$K$5:$K$12,0)),"")</f>
        <v/>
      </c>
      <c r="P11" s="21">
        <f>IFERROR(INDEX($J$5:$J$12,MATCH(N11,$K$5:$K$12,0)),"")</f>
        <v/>
      </c>
    </row>
    <row r="12" ht="34" customHeight="1">
      <c r="A12" s="10" t="n">
        <v>8</v>
      </c>
      <c r="B12" s="11" t="inlineStr">
        <is>
          <t>Receipt capture</t>
        </is>
      </c>
      <c r="C12" s="12" t="inlineStr">
        <is>
          <t>Invoicing</t>
        </is>
      </c>
      <c r="D12" s="13" t="n">
        <v>10000</v>
      </c>
      <c r="E12" s="14" t="inlineStr">
        <is>
          <t>businesses / quarter</t>
        </is>
      </c>
      <c r="F12" s="10">
        <f>IF(E12="","",IF(E12=Anchors!$B$4,"✓","✗ unit"))</f>
        <v/>
      </c>
      <c r="G12" s="15" t="n">
        <v>0.5</v>
      </c>
      <c r="H12" s="16" t="n">
        <v>0.8</v>
      </c>
      <c r="I12" s="15" t="n">
        <v>4</v>
      </c>
      <c r="J12" s="17">
        <f>IF(COUNT(D12,G12,H12,I12)&lt;4,"",D12*G12*H12/I12)</f>
        <v/>
      </c>
      <c r="K12" s="10">
        <f>IF(J12="","",RANK(J12,$J$5:$J$12)+COUNTIF($J$5:J12,J12)-1)</f>
        <v/>
      </c>
      <c r="L12" s="18" t="inlineStr">
        <is>
          <t>Reach: user survey. Impact: adjacent to the core job, so low.</t>
        </is>
      </c>
      <c r="N12" s="19" t="n">
        <v>8</v>
      </c>
      <c r="O12" s="20">
        <f>IFERROR(INDEX($B$5:$B$12,MATCH(N12,$K$5:$K$12,0)),"")</f>
        <v/>
      </c>
      <c r="P12" s="21">
        <f>IFERROR(INDEX($J$5:$J$12,MATCH(N12,$K$5:$K$12,0)),"")</f>
        <v/>
      </c>
    </row>
    <row r="14">
      <c r="B14" s="22" t="inlineStr">
        <is>
          <t>Formula: RICE = (Reach × Impact × Confidence) ÷ Effort. Scales and rules: see the Anchors tab.</t>
        </is>
      </c>
    </row>
    <row r="15">
      <c r="B15" s="22" t="inlineStr">
        <is>
          <t>Every Tallyrow number is invented for teaching.</t>
        </is>
      </c>
    </row>
  </sheetData>
  <conditionalFormatting sqref="F5:F12">
    <cfRule type="expression" priority="1" dxfId="0">
      <formula>LEFT(F5,1)="✗"</formula>
    </cfRule>
  </conditionalFormatting>
  <conditionalFormatting sqref="N5:P5">
    <cfRule type="expression" priority="2" dxfId="1">
      <formula>$O$5&lt;&gt;""</formula>
    </cfRule>
  </conditionalFormatting>
  <dataValidations count="2">
    <dataValidation sqref="G5:G12" showDropDown="0" showInputMessage="0" showErrorMessage="1" allowBlank="1" error="Use the impact scale: 3, 2, 1, 0.5 or 0.25" type="list">
      <formula1>=Anchors!$B$8:$B$12</formula1>
    </dataValidation>
    <dataValidation sqref="H5:H12" showDropDown="0" showInputMessage="0" showErrorMessage="1" allowBlank="1" error="Use the confidence rule: 100%, 80% or 50%" type="list">
      <formula1>=Anchors!$B$15:$B$17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451D1"/>
    <outlinePr summaryBelow="1" summaryRight="1"/>
    <pageSetUpPr fitToPage="1"/>
  </sheetPr>
  <dimension ref="A1:P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11" customWidth="1" min="4" max="4"/>
    <col width="20" customWidth="1" min="5" max="5"/>
    <col width="9" customWidth="1" min="6" max="6"/>
    <col width="9" customWidth="1" min="7" max="7"/>
    <col width="12" customWidth="1" min="8" max="8"/>
    <col width="11" customWidth="1" min="9" max="9"/>
    <col width="12" customWidth="1" min="10" max="10"/>
    <col width="7" customWidth="1" min="11" max="11"/>
    <col width="58" customWidth="1" min="12" max="12"/>
    <col width="3" customWidth="1" min="13" max="13"/>
    <col width="7" customWidth="1" min="14" max="14"/>
    <col width="24" customWidth="1" min="15" max="15"/>
    <col width="12" customWidth="1" min="16" max="16"/>
  </cols>
  <sheetData>
    <row r="1">
      <c r="A1" s="7" t="inlineStr">
        <is>
          <t>RICE · your backlog</t>
        </is>
      </c>
    </row>
    <row r="2">
      <c r="A2" s="5" t="inlineStr">
        <is>
          <t>Agree the Anchors tab first. Fill Item to Effort; write the evidence for every confidence value.</t>
        </is>
      </c>
    </row>
    <row r="4" ht="30" customHeight="1">
      <c r="A4" s="8" t="inlineStr">
        <is>
          <t>#</t>
        </is>
      </c>
      <c r="B4" s="8" t="inlineStr">
        <is>
          <t>Item</t>
        </is>
      </c>
      <c r="C4" s="8" t="inlineStr">
        <is>
          <t>Squad</t>
        </is>
      </c>
      <c r="D4" s="8" t="inlineStr">
        <is>
          <t>Reach</t>
        </is>
      </c>
      <c r="E4" s="8" t="inlineStr">
        <is>
          <t>Reach unit</t>
        </is>
      </c>
      <c r="F4" s="8" t="inlineStr">
        <is>
          <t>Unit check</t>
        </is>
      </c>
      <c r="G4" s="8" t="inlineStr">
        <is>
          <t>Impact</t>
        </is>
      </c>
      <c r="H4" s="8" t="inlineStr">
        <is>
          <t>Confidence</t>
        </is>
      </c>
      <c r="I4" s="8" t="inlineStr">
        <is>
          <t>Effort (p-m)</t>
        </is>
      </c>
      <c r="J4" s="8" t="inlineStr">
        <is>
          <t>RICE score</t>
        </is>
      </c>
      <c r="K4" s="8" t="inlineStr">
        <is>
          <t>Rank</t>
        </is>
      </c>
      <c r="L4" s="8" t="inlineStr">
        <is>
          <t>Evidence (why this confidence?)</t>
        </is>
      </c>
      <c r="N4" s="9" t="inlineStr">
        <is>
          <t>Rank</t>
        </is>
      </c>
      <c r="O4" s="9" t="inlineStr">
        <is>
          <t>Ranked view</t>
        </is>
      </c>
      <c r="P4" s="9" t="inlineStr">
        <is>
          <t>Score</t>
        </is>
      </c>
    </row>
    <row r="5" ht="34" customHeight="1">
      <c r="A5" s="10" t="n">
        <v>1</v>
      </c>
      <c r="B5" s="11" t="n"/>
      <c r="C5" s="12" t="n"/>
      <c r="D5" s="13" t="n"/>
      <c r="E5" s="14" t="n"/>
      <c r="F5" s="10">
        <f>IF(E5="","",IF(E5=Anchors!$B$4,"✓","✗ unit"))</f>
        <v/>
      </c>
      <c r="G5" s="15" t="n"/>
      <c r="H5" s="16" t="n"/>
      <c r="I5" s="15" t="n"/>
      <c r="J5" s="17">
        <f>IF(COUNT(D5,G5,H5,I5)&lt;4,"",D5*G5*H5/I5)</f>
        <v/>
      </c>
      <c r="K5" s="10">
        <f>IF(J5="","",RANK(J5,$J$5:$J$19)+COUNTIF($J$5:J5,J5)-1)</f>
        <v/>
      </c>
      <c r="L5" s="18" t="n"/>
      <c r="N5" s="19" t="n">
        <v>1</v>
      </c>
      <c r="O5" s="20">
        <f>IFERROR(INDEX($B$5:$B$19,MATCH(N5,$K$5:$K$19,0)),"")</f>
        <v/>
      </c>
      <c r="P5" s="21">
        <f>IFERROR(INDEX($J$5:$J$19,MATCH(N5,$K$5:$K$19,0)),"")</f>
        <v/>
      </c>
    </row>
    <row r="6" ht="34" customHeight="1">
      <c r="A6" s="10" t="n">
        <v>2</v>
      </c>
      <c r="B6" s="11" t="n"/>
      <c r="C6" s="12" t="n"/>
      <c r="D6" s="13" t="n"/>
      <c r="E6" s="14" t="n"/>
      <c r="F6" s="10">
        <f>IF(E6="","",IF(E6=Anchors!$B$4,"✓","✗ unit"))</f>
        <v/>
      </c>
      <c r="G6" s="15" t="n"/>
      <c r="H6" s="16" t="n"/>
      <c r="I6" s="15" t="n"/>
      <c r="J6" s="17">
        <f>IF(COUNT(D6,G6,H6,I6)&lt;4,"",D6*G6*H6/I6)</f>
        <v/>
      </c>
      <c r="K6" s="10">
        <f>IF(J6="","",RANK(J6,$J$5:$J$19)+COUNTIF($J$5:J6,J6)-1)</f>
        <v/>
      </c>
      <c r="L6" s="18" t="n"/>
      <c r="N6" s="19" t="n">
        <v>2</v>
      </c>
      <c r="O6" s="20">
        <f>IFERROR(INDEX($B$5:$B$19,MATCH(N6,$K$5:$K$19,0)),"")</f>
        <v/>
      </c>
      <c r="P6" s="21">
        <f>IFERROR(INDEX($J$5:$J$19,MATCH(N6,$K$5:$K$19,0)),"")</f>
        <v/>
      </c>
    </row>
    <row r="7" ht="34" customHeight="1">
      <c r="A7" s="10" t="n">
        <v>3</v>
      </c>
      <c r="B7" s="11" t="n"/>
      <c r="C7" s="12" t="n"/>
      <c r="D7" s="13" t="n"/>
      <c r="E7" s="14" t="n"/>
      <c r="F7" s="10">
        <f>IF(E7="","",IF(E7=Anchors!$B$4,"✓","✗ unit"))</f>
        <v/>
      </c>
      <c r="G7" s="15" t="n"/>
      <c r="H7" s="16" t="n"/>
      <c r="I7" s="15" t="n"/>
      <c r="J7" s="17">
        <f>IF(COUNT(D7,G7,H7,I7)&lt;4,"",D7*G7*H7/I7)</f>
        <v/>
      </c>
      <c r="K7" s="10">
        <f>IF(J7="","",RANK(J7,$J$5:$J$19)+COUNTIF($J$5:J7,J7)-1)</f>
        <v/>
      </c>
      <c r="L7" s="18" t="n"/>
      <c r="N7" s="19" t="n">
        <v>3</v>
      </c>
      <c r="O7" s="20">
        <f>IFERROR(INDEX($B$5:$B$19,MATCH(N7,$K$5:$K$19,0)),"")</f>
        <v/>
      </c>
      <c r="P7" s="21">
        <f>IFERROR(INDEX($J$5:$J$19,MATCH(N7,$K$5:$K$19,0)),"")</f>
        <v/>
      </c>
    </row>
    <row r="8" ht="34" customHeight="1">
      <c r="A8" s="10" t="n">
        <v>4</v>
      </c>
      <c r="B8" s="11" t="n"/>
      <c r="C8" s="12" t="n"/>
      <c r="D8" s="13" t="n"/>
      <c r="E8" s="14" t="n"/>
      <c r="F8" s="10">
        <f>IF(E8="","",IF(E8=Anchors!$B$4,"✓","✗ unit"))</f>
        <v/>
      </c>
      <c r="G8" s="15" t="n"/>
      <c r="H8" s="16" t="n"/>
      <c r="I8" s="15" t="n"/>
      <c r="J8" s="17">
        <f>IF(COUNT(D8,G8,H8,I8)&lt;4,"",D8*G8*H8/I8)</f>
        <v/>
      </c>
      <c r="K8" s="10">
        <f>IF(J8="","",RANK(J8,$J$5:$J$19)+COUNTIF($J$5:J8,J8)-1)</f>
        <v/>
      </c>
      <c r="L8" s="18" t="n"/>
      <c r="N8" s="19" t="n">
        <v>4</v>
      </c>
      <c r="O8" s="20">
        <f>IFERROR(INDEX($B$5:$B$19,MATCH(N8,$K$5:$K$19,0)),"")</f>
        <v/>
      </c>
      <c r="P8" s="21">
        <f>IFERROR(INDEX($J$5:$J$19,MATCH(N8,$K$5:$K$19,0)),"")</f>
        <v/>
      </c>
    </row>
    <row r="9" ht="34" customHeight="1">
      <c r="A9" s="10" t="n">
        <v>5</v>
      </c>
      <c r="B9" s="11" t="n"/>
      <c r="C9" s="12" t="n"/>
      <c r="D9" s="13" t="n"/>
      <c r="E9" s="14" t="n"/>
      <c r="F9" s="10">
        <f>IF(E9="","",IF(E9=Anchors!$B$4,"✓","✗ unit"))</f>
        <v/>
      </c>
      <c r="G9" s="15" t="n"/>
      <c r="H9" s="16" t="n"/>
      <c r="I9" s="15" t="n"/>
      <c r="J9" s="17">
        <f>IF(COUNT(D9,G9,H9,I9)&lt;4,"",D9*G9*H9/I9)</f>
        <v/>
      </c>
      <c r="K9" s="10">
        <f>IF(J9="","",RANK(J9,$J$5:$J$19)+COUNTIF($J$5:J9,J9)-1)</f>
        <v/>
      </c>
      <c r="L9" s="18" t="n"/>
      <c r="N9" s="19" t="n">
        <v>5</v>
      </c>
      <c r="O9" s="20">
        <f>IFERROR(INDEX($B$5:$B$19,MATCH(N9,$K$5:$K$19,0)),"")</f>
        <v/>
      </c>
      <c r="P9" s="21">
        <f>IFERROR(INDEX($J$5:$J$19,MATCH(N9,$K$5:$K$19,0)),"")</f>
        <v/>
      </c>
    </row>
    <row r="10" ht="34" customHeight="1">
      <c r="A10" s="10" t="n">
        <v>6</v>
      </c>
      <c r="B10" s="11" t="n"/>
      <c r="C10" s="12" t="n"/>
      <c r="D10" s="13" t="n"/>
      <c r="E10" s="14" t="n"/>
      <c r="F10" s="10">
        <f>IF(E10="","",IF(E10=Anchors!$B$4,"✓","✗ unit"))</f>
        <v/>
      </c>
      <c r="G10" s="15" t="n"/>
      <c r="H10" s="16" t="n"/>
      <c r="I10" s="15" t="n"/>
      <c r="J10" s="17">
        <f>IF(COUNT(D10,G10,H10,I10)&lt;4,"",D10*G10*H10/I10)</f>
        <v/>
      </c>
      <c r="K10" s="10">
        <f>IF(J10="","",RANK(J10,$J$5:$J$19)+COUNTIF($J$5:J10,J10)-1)</f>
        <v/>
      </c>
      <c r="L10" s="18" t="n"/>
      <c r="N10" s="19" t="n">
        <v>6</v>
      </c>
      <c r="O10" s="20">
        <f>IFERROR(INDEX($B$5:$B$19,MATCH(N10,$K$5:$K$19,0)),"")</f>
        <v/>
      </c>
      <c r="P10" s="21">
        <f>IFERROR(INDEX($J$5:$J$19,MATCH(N10,$K$5:$K$19,0)),"")</f>
        <v/>
      </c>
    </row>
    <row r="11" ht="34" customHeight="1">
      <c r="A11" s="10" t="n">
        <v>7</v>
      </c>
      <c r="B11" s="11" t="n"/>
      <c r="C11" s="12" t="n"/>
      <c r="D11" s="13" t="n"/>
      <c r="E11" s="14" t="n"/>
      <c r="F11" s="10">
        <f>IF(E11="","",IF(E11=Anchors!$B$4,"✓","✗ unit"))</f>
        <v/>
      </c>
      <c r="G11" s="15" t="n"/>
      <c r="H11" s="16" t="n"/>
      <c r="I11" s="15" t="n"/>
      <c r="J11" s="17">
        <f>IF(COUNT(D11,G11,H11,I11)&lt;4,"",D11*G11*H11/I11)</f>
        <v/>
      </c>
      <c r="K11" s="10">
        <f>IF(J11="","",RANK(J11,$J$5:$J$19)+COUNTIF($J$5:J11,J11)-1)</f>
        <v/>
      </c>
      <c r="L11" s="18" t="n"/>
      <c r="N11" s="19" t="n">
        <v>7</v>
      </c>
      <c r="O11" s="20">
        <f>IFERROR(INDEX($B$5:$B$19,MATCH(N11,$K$5:$K$19,0)),"")</f>
        <v/>
      </c>
      <c r="P11" s="21">
        <f>IFERROR(INDEX($J$5:$J$19,MATCH(N11,$K$5:$K$19,0)),"")</f>
        <v/>
      </c>
    </row>
    <row r="12" ht="34" customHeight="1">
      <c r="A12" s="10" t="n">
        <v>8</v>
      </c>
      <c r="B12" s="11" t="n"/>
      <c r="C12" s="12" t="n"/>
      <c r="D12" s="13" t="n"/>
      <c r="E12" s="14" t="n"/>
      <c r="F12" s="10">
        <f>IF(E12="","",IF(E12=Anchors!$B$4,"✓","✗ unit"))</f>
        <v/>
      </c>
      <c r="G12" s="15" t="n"/>
      <c r="H12" s="16" t="n"/>
      <c r="I12" s="15" t="n"/>
      <c r="J12" s="17">
        <f>IF(COUNT(D12,G12,H12,I12)&lt;4,"",D12*G12*H12/I12)</f>
        <v/>
      </c>
      <c r="K12" s="10">
        <f>IF(J12="","",RANK(J12,$J$5:$J$19)+COUNTIF($J$5:J12,J12)-1)</f>
        <v/>
      </c>
      <c r="L12" s="18" t="n"/>
      <c r="N12" s="19" t="n">
        <v>8</v>
      </c>
      <c r="O12" s="20">
        <f>IFERROR(INDEX($B$5:$B$19,MATCH(N12,$K$5:$K$19,0)),"")</f>
        <v/>
      </c>
      <c r="P12" s="21">
        <f>IFERROR(INDEX($J$5:$J$19,MATCH(N12,$K$5:$K$19,0)),"")</f>
        <v/>
      </c>
    </row>
    <row r="13" ht="34" customHeight="1">
      <c r="A13" s="10" t="n">
        <v>9</v>
      </c>
      <c r="B13" s="11" t="n"/>
      <c r="C13" s="12" t="n"/>
      <c r="D13" s="13" t="n"/>
      <c r="E13" s="14" t="n"/>
      <c r="F13" s="10">
        <f>IF(E13="","",IF(E13=Anchors!$B$4,"✓","✗ unit"))</f>
        <v/>
      </c>
      <c r="G13" s="15" t="n"/>
      <c r="H13" s="16" t="n"/>
      <c r="I13" s="15" t="n"/>
      <c r="J13" s="17">
        <f>IF(COUNT(D13,G13,H13,I13)&lt;4,"",D13*G13*H13/I13)</f>
        <v/>
      </c>
      <c r="K13" s="10">
        <f>IF(J13="","",RANK(J13,$J$5:$J$19)+COUNTIF($J$5:J13,J13)-1)</f>
        <v/>
      </c>
      <c r="L13" s="18" t="n"/>
      <c r="N13" s="19" t="n">
        <v>9</v>
      </c>
      <c r="O13" s="20">
        <f>IFERROR(INDEX($B$5:$B$19,MATCH(N13,$K$5:$K$19,0)),"")</f>
        <v/>
      </c>
      <c r="P13" s="21">
        <f>IFERROR(INDEX($J$5:$J$19,MATCH(N13,$K$5:$K$19,0)),"")</f>
        <v/>
      </c>
    </row>
    <row r="14" ht="34" customHeight="1">
      <c r="A14" s="10" t="n">
        <v>10</v>
      </c>
      <c r="B14" s="11" t="n"/>
      <c r="C14" s="12" t="n"/>
      <c r="D14" s="13" t="n"/>
      <c r="E14" s="14" t="n"/>
      <c r="F14" s="10">
        <f>IF(E14="","",IF(E14=Anchors!$B$4,"✓","✗ unit"))</f>
        <v/>
      </c>
      <c r="G14" s="15" t="n"/>
      <c r="H14" s="16" t="n"/>
      <c r="I14" s="15" t="n"/>
      <c r="J14" s="17">
        <f>IF(COUNT(D14,G14,H14,I14)&lt;4,"",D14*G14*H14/I14)</f>
        <v/>
      </c>
      <c r="K14" s="10">
        <f>IF(J14="","",RANK(J14,$J$5:$J$19)+COUNTIF($J$5:J14,J14)-1)</f>
        <v/>
      </c>
      <c r="L14" s="18" t="n"/>
      <c r="N14" s="19" t="n">
        <v>10</v>
      </c>
      <c r="O14" s="20">
        <f>IFERROR(INDEX($B$5:$B$19,MATCH(N14,$K$5:$K$19,0)),"")</f>
        <v/>
      </c>
      <c r="P14" s="21">
        <f>IFERROR(INDEX($J$5:$J$19,MATCH(N14,$K$5:$K$19,0)),"")</f>
        <v/>
      </c>
    </row>
    <row r="15" ht="34" customHeight="1">
      <c r="A15" s="10" t="n">
        <v>11</v>
      </c>
      <c r="B15" s="11" t="n"/>
      <c r="C15" s="12" t="n"/>
      <c r="D15" s="13" t="n"/>
      <c r="E15" s="14" t="n"/>
      <c r="F15" s="10">
        <f>IF(E15="","",IF(E15=Anchors!$B$4,"✓","✗ unit"))</f>
        <v/>
      </c>
      <c r="G15" s="15" t="n"/>
      <c r="H15" s="16" t="n"/>
      <c r="I15" s="15" t="n"/>
      <c r="J15" s="17">
        <f>IF(COUNT(D15,G15,H15,I15)&lt;4,"",D15*G15*H15/I15)</f>
        <v/>
      </c>
      <c r="K15" s="10">
        <f>IF(J15="","",RANK(J15,$J$5:$J$19)+COUNTIF($J$5:J15,J15)-1)</f>
        <v/>
      </c>
      <c r="L15" s="18" t="n"/>
      <c r="N15" s="19" t="n">
        <v>11</v>
      </c>
      <c r="O15" s="20">
        <f>IFERROR(INDEX($B$5:$B$19,MATCH(N15,$K$5:$K$19,0)),"")</f>
        <v/>
      </c>
      <c r="P15" s="21">
        <f>IFERROR(INDEX($J$5:$J$19,MATCH(N15,$K$5:$K$19,0)),"")</f>
        <v/>
      </c>
    </row>
    <row r="16" ht="34" customHeight="1">
      <c r="A16" s="10" t="n">
        <v>12</v>
      </c>
      <c r="B16" s="11" t="n"/>
      <c r="C16" s="12" t="n"/>
      <c r="D16" s="13" t="n"/>
      <c r="E16" s="14" t="n"/>
      <c r="F16" s="10">
        <f>IF(E16="","",IF(E16=Anchors!$B$4,"✓","✗ unit"))</f>
        <v/>
      </c>
      <c r="G16" s="15" t="n"/>
      <c r="H16" s="16" t="n"/>
      <c r="I16" s="15" t="n"/>
      <c r="J16" s="17">
        <f>IF(COUNT(D16,G16,H16,I16)&lt;4,"",D16*G16*H16/I16)</f>
        <v/>
      </c>
      <c r="K16" s="10">
        <f>IF(J16="","",RANK(J16,$J$5:$J$19)+COUNTIF($J$5:J16,J16)-1)</f>
        <v/>
      </c>
      <c r="L16" s="18" t="n"/>
      <c r="N16" s="19" t="n">
        <v>12</v>
      </c>
      <c r="O16" s="20">
        <f>IFERROR(INDEX($B$5:$B$19,MATCH(N16,$K$5:$K$19,0)),"")</f>
        <v/>
      </c>
      <c r="P16" s="21">
        <f>IFERROR(INDEX($J$5:$J$19,MATCH(N16,$K$5:$K$19,0)),"")</f>
        <v/>
      </c>
    </row>
    <row r="17" ht="34" customHeight="1">
      <c r="A17" s="10" t="n">
        <v>13</v>
      </c>
      <c r="B17" s="11" t="n"/>
      <c r="C17" s="12" t="n"/>
      <c r="D17" s="13" t="n"/>
      <c r="E17" s="14" t="n"/>
      <c r="F17" s="10">
        <f>IF(E17="","",IF(E17=Anchors!$B$4,"✓","✗ unit"))</f>
        <v/>
      </c>
      <c r="G17" s="15" t="n"/>
      <c r="H17" s="16" t="n"/>
      <c r="I17" s="15" t="n"/>
      <c r="J17" s="17">
        <f>IF(COUNT(D17,G17,H17,I17)&lt;4,"",D17*G17*H17/I17)</f>
        <v/>
      </c>
      <c r="K17" s="10">
        <f>IF(J17="","",RANK(J17,$J$5:$J$19)+COUNTIF($J$5:J17,J17)-1)</f>
        <v/>
      </c>
      <c r="L17" s="18" t="n"/>
      <c r="N17" s="19" t="n">
        <v>13</v>
      </c>
      <c r="O17" s="20">
        <f>IFERROR(INDEX($B$5:$B$19,MATCH(N17,$K$5:$K$19,0)),"")</f>
        <v/>
      </c>
      <c r="P17" s="21">
        <f>IFERROR(INDEX($J$5:$J$19,MATCH(N17,$K$5:$K$19,0)),"")</f>
        <v/>
      </c>
    </row>
    <row r="18" ht="34" customHeight="1">
      <c r="A18" s="10" t="n">
        <v>14</v>
      </c>
      <c r="B18" s="11" t="n"/>
      <c r="C18" s="12" t="n"/>
      <c r="D18" s="13" t="n"/>
      <c r="E18" s="14" t="n"/>
      <c r="F18" s="10">
        <f>IF(E18="","",IF(E18=Anchors!$B$4,"✓","✗ unit"))</f>
        <v/>
      </c>
      <c r="G18" s="15" t="n"/>
      <c r="H18" s="16" t="n"/>
      <c r="I18" s="15" t="n"/>
      <c r="J18" s="17">
        <f>IF(COUNT(D18,G18,H18,I18)&lt;4,"",D18*G18*H18/I18)</f>
        <v/>
      </c>
      <c r="K18" s="10">
        <f>IF(J18="","",RANK(J18,$J$5:$J$19)+COUNTIF($J$5:J18,J18)-1)</f>
        <v/>
      </c>
      <c r="L18" s="18" t="n"/>
      <c r="N18" s="19" t="n">
        <v>14</v>
      </c>
      <c r="O18" s="20">
        <f>IFERROR(INDEX($B$5:$B$19,MATCH(N18,$K$5:$K$19,0)),"")</f>
        <v/>
      </c>
      <c r="P18" s="21">
        <f>IFERROR(INDEX($J$5:$J$19,MATCH(N18,$K$5:$K$19,0)),"")</f>
        <v/>
      </c>
    </row>
    <row r="19" ht="34" customHeight="1">
      <c r="A19" s="10" t="n">
        <v>15</v>
      </c>
      <c r="B19" s="11" t="n"/>
      <c r="C19" s="12" t="n"/>
      <c r="D19" s="13" t="n"/>
      <c r="E19" s="14" t="n"/>
      <c r="F19" s="10">
        <f>IF(E19="","",IF(E19=Anchors!$B$4,"✓","✗ unit"))</f>
        <v/>
      </c>
      <c r="G19" s="15" t="n"/>
      <c r="H19" s="16" t="n"/>
      <c r="I19" s="15" t="n"/>
      <c r="J19" s="17">
        <f>IF(COUNT(D19,G19,H19,I19)&lt;4,"",D19*G19*H19/I19)</f>
        <v/>
      </c>
      <c r="K19" s="10">
        <f>IF(J19="","",RANK(J19,$J$5:$J$19)+COUNTIF($J$5:J19,J19)-1)</f>
        <v/>
      </c>
      <c r="L19" s="18" t="n"/>
      <c r="N19" s="19" t="n">
        <v>15</v>
      </c>
      <c r="O19" s="20">
        <f>IFERROR(INDEX($B$5:$B$19,MATCH(N19,$K$5:$K$19,0)),"")</f>
        <v/>
      </c>
      <c r="P19" s="21">
        <f>IFERROR(INDEX($J$5:$J$19,MATCH(N19,$K$5:$K$19,0)),"")</f>
        <v/>
      </c>
    </row>
    <row r="21">
      <c r="B21" s="22" t="inlineStr">
        <is>
          <t>Formula: RICE = (Reach × Impact × Confidence) ÷ Effort. Scales and rules: see the Anchors tab.</t>
        </is>
      </c>
    </row>
    <row r="22">
      <c r="B22" s="22" t="inlineStr">
        <is>
          <t>Every Tallyrow number is invented for teaching.</t>
        </is>
      </c>
    </row>
  </sheetData>
  <conditionalFormatting sqref="F5:F19">
    <cfRule type="expression" priority="1" dxfId="0">
      <formula>LEFT(F5,1)="✗"</formula>
    </cfRule>
  </conditionalFormatting>
  <conditionalFormatting sqref="N5:P5">
    <cfRule type="expression" priority="2" dxfId="1">
      <formula>$O$5&lt;&gt;""</formula>
    </cfRule>
  </conditionalFormatting>
  <dataValidations count="2">
    <dataValidation sqref="G5:G19" showDropDown="0" showInputMessage="0" showErrorMessage="1" allowBlank="1" error="Use the impact scale: 3, 2, 1, 0.5 or 0.25" type="list">
      <formula1>=Anchors!$B$8:$B$12</formula1>
    </dataValidation>
    <dataValidation sqref="H5:H19" showDropDown="0" showInputMessage="0" showErrorMessage="1" allowBlank="1" error="Use the confidence rule: 100%, 80% or 50%" type="list">
      <formula1>=Anchors!$B$15:$B$17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451D1"/>
    <outlinePr summaryBelow="1" summaryRight="1"/>
    <pageSetUpPr fitToPage="1"/>
  </sheetPr>
  <dimension ref="A1:M28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7" customWidth="1" min="8" max="8"/>
    <col hidden="1" width="4" customWidth="1" min="9" max="9"/>
    <col width="3" customWidth="1" min="10" max="10"/>
    <col width="7" customWidth="1" min="11" max="11"/>
    <col width="22" customWidth="1" min="12" max="12"/>
    <col width="10" customWidth="1" min="13" max="13"/>
  </cols>
  <sheetData>
    <row r="1">
      <c r="A1" s="7" t="inlineStr">
        <is>
          <t>Weighted scoring · Tallyrow backlog</t>
        </is>
      </c>
    </row>
    <row r="2">
      <c r="A2" s="5" t="inlineStr">
        <is>
          <t>Criteria and weights agreed with Maya and Tomás before anyone scored. Change a weight and watch the ranked view.</t>
        </is>
      </c>
    </row>
    <row r="4" ht="44" customHeight="1">
      <c r="B4" s="4" t="inlineStr">
        <is>
          <t>Criterion</t>
        </is>
      </c>
      <c r="C4" s="23" t="inlineStr">
        <is>
          <t>Lift to invoices paid on time</t>
        </is>
      </c>
      <c r="D4" s="23" t="inlineStr">
        <is>
          <t>Revenue and retention</t>
        </is>
      </c>
      <c r="E4" s="23" t="inlineStr">
        <is>
          <t>Strategic or compliance need</t>
        </is>
      </c>
      <c r="F4" s="23" t="inlineStr">
        <is>
          <t>Ease</t>
        </is>
      </c>
      <c r="G4" s="24" t="inlineStr">
        <is>
          <t>Weights total</t>
        </is>
      </c>
    </row>
    <row r="5" ht="26" customHeight="1">
      <c r="B5" s="4" t="inlineStr">
        <is>
          <t>Weight</t>
        </is>
      </c>
      <c r="C5" s="25" t="n">
        <v>0.4</v>
      </c>
      <c r="D5" s="25" t="n">
        <v>0.25</v>
      </c>
      <c r="E5" s="25" t="n">
        <v>0.15</v>
      </c>
      <c r="F5" s="25" t="n">
        <v>0.2</v>
      </c>
      <c r="G5" s="26">
        <f>IF(COUNT(C5:F5)=0,"",IF(ROUND(SUM(C5:F5),4)=1,"✓ 100%","✗ "&amp;TEXT(SUM(C5:F5),"0%")))</f>
        <v/>
      </c>
    </row>
    <row r="6">
      <c r="B6" s="4" t="inlineStr">
        <is>
          <t>Agreed by / date</t>
        </is>
      </c>
      <c r="C6" s="27" t="inlineStr">
        <is>
          <t>Maya (CEO), Tomás (Finance lead)</t>
        </is>
      </c>
      <c r="F6" s="27" t="inlineStr">
        <is>
          <t>Planning day 1, before scoring</t>
        </is>
      </c>
    </row>
    <row r="8" ht="30" customHeight="1">
      <c r="A8" s="8" t="inlineStr">
        <is>
          <t>#</t>
        </is>
      </c>
      <c r="B8" s="8" t="inlineStr">
        <is>
          <t>Item</t>
        </is>
      </c>
      <c r="C8" s="8" t="inlineStr">
        <is>
          <t>Lift (1-5)</t>
        </is>
      </c>
      <c r="D8" s="8" t="inlineStr">
        <is>
          <t>Revenue (1-5)</t>
        </is>
      </c>
      <c r="E8" s="8" t="inlineStr">
        <is>
          <t>Strategic (1-5)</t>
        </is>
      </c>
      <c r="F8" s="8" t="inlineStr">
        <is>
          <t>Ease (1-5)</t>
        </is>
      </c>
      <c r="G8" s="8" t="inlineStr">
        <is>
          <t>Weighted total</t>
        </is>
      </c>
      <c r="H8" s="8" t="inlineStr">
        <is>
          <t>Rank</t>
        </is>
      </c>
      <c r="K8" s="9" t="inlineStr">
        <is>
          <t>Rank</t>
        </is>
      </c>
      <c r="L8" s="9" t="inlineStr">
        <is>
          <t>Ranked view</t>
        </is>
      </c>
      <c r="M8" s="9" t="inlineStr">
        <is>
          <t>Total</t>
        </is>
      </c>
    </row>
    <row r="9" ht="24" customHeight="1">
      <c r="A9" s="19" t="n">
        <v>1</v>
      </c>
      <c r="B9" s="20" t="inlineStr">
        <is>
          <t>Payment link</t>
        </is>
      </c>
      <c r="C9" s="28" t="n">
        <v>5</v>
      </c>
      <c r="D9" s="28" t="n">
        <v>4</v>
      </c>
      <c r="E9" s="28" t="n">
        <v>3</v>
      </c>
      <c r="F9" s="28" t="n">
        <v>4</v>
      </c>
      <c r="G9" s="29">
        <f>IF(COUNT(C9:F9)&lt;4,"",SUMPRODUCT($C$5:$F$5,C9:F9))</f>
        <v/>
      </c>
      <c r="H9" s="19">
        <f>IF(G9="","",COUNTIF($G$9:$G$16,"&gt;"&amp;(G9+0.005))+1)</f>
        <v/>
      </c>
      <c r="I9">
        <f>IF(H9="","",H9+COUNTIF($H$9:H9,H9)-1)</f>
        <v/>
      </c>
      <c r="K9" s="19">
        <f>IFERROR(INDEX($H$9:$H$16,MATCH(1,$I$9:$I$16,0)),"")</f>
        <v/>
      </c>
      <c r="L9" s="20">
        <f>IFERROR(INDEX($B$9:$B$16,MATCH(1,$I$9:$I$16,0)),"")</f>
        <v/>
      </c>
      <c r="M9" s="30">
        <f>IFERROR(INDEX($G$9:$G$16,MATCH(1,$I$9:$I$16,0)),"")</f>
        <v/>
      </c>
    </row>
    <row r="10" ht="24" customHeight="1">
      <c r="A10" s="19" t="n">
        <v>2</v>
      </c>
      <c r="B10" s="20" t="inlineStr">
        <is>
          <t>Smart reminders</t>
        </is>
      </c>
      <c r="C10" s="28" t="n">
        <v>4</v>
      </c>
      <c r="D10" s="28" t="n">
        <v>3</v>
      </c>
      <c r="E10" s="28" t="n">
        <v>4</v>
      </c>
      <c r="F10" s="28" t="n">
        <v>2</v>
      </c>
      <c r="G10" s="29">
        <f>IF(COUNT(C10:F10)&lt;4,"",SUMPRODUCT($C$5:$F$5,C10:F10))</f>
        <v/>
      </c>
      <c r="H10" s="19">
        <f>IF(G10="","",COUNTIF($G$9:$G$16,"&gt;"&amp;(G10+0.005))+1)</f>
        <v/>
      </c>
      <c r="I10">
        <f>IF(H10="","",H10+COUNTIF($H$9:H10,H10)-1)</f>
        <v/>
      </c>
      <c r="K10" s="19">
        <f>IFERROR(INDEX($H$9:$H$16,MATCH(2,$I$9:$I$16,0)),"")</f>
        <v/>
      </c>
      <c r="L10" s="20">
        <f>IFERROR(INDEX($B$9:$B$16,MATCH(2,$I$9:$I$16,0)),"")</f>
        <v/>
      </c>
      <c r="M10" s="30">
        <f>IFERROR(INDEX($G$9:$G$16,MATCH(2,$I$9:$I$16,0)),"")</f>
        <v/>
      </c>
    </row>
    <row r="11" ht="24" customHeight="1">
      <c r="A11" s="19" t="n">
        <v>3</v>
      </c>
      <c r="B11" s="20" t="inlineStr">
        <is>
          <t>Recurring invoices</t>
        </is>
      </c>
      <c r="C11" s="28" t="n">
        <v>3</v>
      </c>
      <c r="D11" s="28" t="n">
        <v>4</v>
      </c>
      <c r="E11" s="28" t="n">
        <v>2</v>
      </c>
      <c r="F11" s="28" t="n">
        <v>4</v>
      </c>
      <c r="G11" s="29">
        <f>IF(COUNT(C11:F11)&lt;4,"",SUMPRODUCT($C$5:$F$5,C11:F11))</f>
        <v/>
      </c>
      <c r="H11" s="19">
        <f>IF(G11="","",COUNTIF($G$9:$G$16,"&gt;"&amp;(G11+0.005))+1)</f>
        <v/>
      </c>
      <c r="I11">
        <f>IF(H11="","",H11+COUNTIF($H$9:H11,H11)-1)</f>
        <v/>
      </c>
      <c r="K11" s="19">
        <f>IFERROR(INDEX($H$9:$H$16,MATCH(3,$I$9:$I$16,0)),"")</f>
        <v/>
      </c>
      <c r="L11" s="20">
        <f>IFERROR(INDEX($B$9:$B$16,MATCH(3,$I$9:$I$16,0)),"")</f>
        <v/>
      </c>
      <c r="M11" s="30">
        <f>IFERROR(INDEX($G$9:$G$16,MATCH(3,$I$9:$I$16,0)),"")</f>
        <v/>
      </c>
    </row>
    <row r="12" ht="24" customHeight="1">
      <c r="A12" s="19" t="n">
        <v>4</v>
      </c>
      <c r="B12" s="20" t="inlineStr">
        <is>
          <t>E-invoicing</t>
        </is>
      </c>
      <c r="C12" s="28" t="n">
        <v>1</v>
      </c>
      <c r="D12" s="28" t="n">
        <v>3</v>
      </c>
      <c r="E12" s="28" t="n">
        <v>5</v>
      </c>
      <c r="F12" s="28" t="n">
        <v>2</v>
      </c>
      <c r="G12" s="29">
        <f>IF(COUNT(C12:F12)&lt;4,"",SUMPRODUCT($C$5:$F$5,C12:F12))</f>
        <v/>
      </c>
      <c r="H12" s="19">
        <f>IF(G12="","",COUNTIF($G$9:$G$16,"&gt;"&amp;(G12+0.005))+1)</f>
        <v/>
      </c>
      <c r="I12">
        <f>IF(H12="","",H12+COUNTIF($H$9:H12,H12)-1)</f>
        <v/>
      </c>
      <c r="K12" s="19">
        <f>IFERROR(INDEX($H$9:$H$16,MATCH(4,$I$9:$I$16,0)),"")</f>
        <v/>
      </c>
      <c r="L12" s="20">
        <f>IFERROR(INDEX($B$9:$B$16,MATCH(4,$I$9:$I$16,0)),"")</f>
        <v/>
      </c>
      <c r="M12" s="30">
        <f>IFERROR(INDEX($G$9:$G$16,MATCH(4,$I$9:$I$16,0)),"")</f>
        <v/>
      </c>
    </row>
    <row r="13" ht="24" customHeight="1">
      <c r="A13" s="19" t="n">
        <v>5</v>
      </c>
      <c r="B13" s="20" t="inlineStr">
        <is>
          <t>Multi-currency</t>
        </is>
      </c>
      <c r="C13" s="28" t="n">
        <v>1</v>
      </c>
      <c r="D13" s="28" t="n">
        <v>3</v>
      </c>
      <c r="E13" s="28" t="n">
        <v>2</v>
      </c>
      <c r="F13" s="28" t="n">
        <v>4</v>
      </c>
      <c r="G13" s="29">
        <f>IF(COUNT(C13:F13)&lt;4,"",SUMPRODUCT($C$5:$F$5,C13:F13))</f>
        <v/>
      </c>
      <c r="H13" s="19">
        <f>IF(G13="","",COUNTIF($G$9:$G$16,"&gt;"&amp;(G13+0.005))+1)</f>
        <v/>
      </c>
      <c r="I13">
        <f>IF(H13="","",H13+COUNTIF($H$9:H13,H13)-1)</f>
        <v/>
      </c>
      <c r="K13" s="19">
        <f>IFERROR(INDEX($H$9:$H$16,MATCH(5,$I$9:$I$16,0)),"")</f>
        <v/>
      </c>
      <c r="L13" s="20">
        <f>IFERROR(INDEX($B$9:$B$16,MATCH(5,$I$9:$I$16,0)),"")</f>
        <v/>
      </c>
      <c r="M13" s="30">
        <f>IFERROR(INDEX($G$9:$G$16,MATCH(5,$I$9:$I$16,0)),"")</f>
        <v/>
      </c>
    </row>
    <row r="14" ht="24" customHeight="1">
      <c r="A14" s="19" t="n">
        <v>6</v>
      </c>
      <c r="B14" s="20" t="inlineStr">
        <is>
          <t>Client portal</t>
        </is>
      </c>
      <c r="C14" s="28" t="n">
        <v>3</v>
      </c>
      <c r="D14" s="28" t="n">
        <v>2</v>
      </c>
      <c r="E14" s="28" t="n">
        <v>2</v>
      </c>
      <c r="F14" s="28" t="n">
        <v>1</v>
      </c>
      <c r="G14" s="29">
        <f>IF(COUNT(C14:F14)&lt;4,"",SUMPRODUCT($C$5:$F$5,C14:F14))</f>
        <v/>
      </c>
      <c r="H14" s="19">
        <f>IF(G14="","",COUNTIF($G$9:$G$16,"&gt;"&amp;(G14+0.005))+1)</f>
        <v/>
      </c>
      <c r="I14">
        <f>IF(H14="","",H14+COUNTIF($H$9:H14,H14)-1)</f>
        <v/>
      </c>
      <c r="K14" s="19">
        <f>IFERROR(INDEX($H$9:$H$16,MATCH(6,$I$9:$I$16,0)),"")</f>
        <v/>
      </c>
      <c r="L14" s="20">
        <f>IFERROR(INDEX($B$9:$B$16,MATCH(6,$I$9:$I$16,0)),"")</f>
        <v/>
      </c>
      <c r="M14" s="30">
        <f>IFERROR(INDEX($G$9:$G$16,MATCH(6,$I$9:$I$16,0)),"")</f>
        <v/>
      </c>
    </row>
    <row r="15" ht="24" customHeight="1">
      <c r="A15" s="19" t="n">
        <v>7</v>
      </c>
      <c r="B15" s="20" t="inlineStr">
        <is>
          <t>Late-fee automation</t>
        </is>
      </c>
      <c r="C15" s="28" t="n">
        <v>2</v>
      </c>
      <c r="D15" s="28" t="n">
        <v>4</v>
      </c>
      <c r="E15" s="28" t="n">
        <v>1</v>
      </c>
      <c r="F15" s="28" t="n">
        <v>4</v>
      </c>
      <c r="G15" s="29">
        <f>IF(COUNT(C15:F15)&lt;4,"",SUMPRODUCT($C$5:$F$5,C15:F15))</f>
        <v/>
      </c>
      <c r="H15" s="19">
        <f>IF(G15="","",COUNTIF($G$9:$G$16,"&gt;"&amp;(G15+0.005))+1)</f>
        <v/>
      </c>
      <c r="I15">
        <f>IF(H15="","",H15+COUNTIF($H$9:H15,H15)-1)</f>
        <v/>
      </c>
      <c r="K15" s="19">
        <f>IFERROR(INDEX($H$9:$H$16,MATCH(7,$I$9:$I$16,0)),"")</f>
        <v/>
      </c>
      <c r="L15" s="20">
        <f>IFERROR(INDEX($B$9:$B$16,MATCH(7,$I$9:$I$16,0)),"")</f>
        <v/>
      </c>
      <c r="M15" s="30">
        <f>IFERROR(INDEX($G$9:$G$16,MATCH(7,$I$9:$I$16,0)),"")</f>
        <v/>
      </c>
    </row>
    <row r="16" ht="24" customHeight="1">
      <c r="A16" s="19" t="n">
        <v>8</v>
      </c>
      <c r="B16" s="20" t="inlineStr">
        <is>
          <t>Receipt capture</t>
        </is>
      </c>
      <c r="C16" s="28" t="n">
        <v>1</v>
      </c>
      <c r="D16" s="28" t="n">
        <v>2</v>
      </c>
      <c r="E16" s="28" t="n">
        <v>1</v>
      </c>
      <c r="F16" s="28" t="n">
        <v>2</v>
      </c>
      <c r="G16" s="29">
        <f>IF(COUNT(C16:F16)&lt;4,"",SUMPRODUCT($C$5:$F$5,C16:F16))</f>
        <v/>
      </c>
      <c r="H16" s="19">
        <f>IF(G16="","",COUNTIF($G$9:$G$16,"&gt;"&amp;(G16+0.005))+1)</f>
        <v/>
      </c>
      <c r="I16">
        <f>IF(H16="","",H16+COUNTIF($H$9:H16,H16)-1)</f>
        <v/>
      </c>
      <c r="K16" s="19">
        <f>IFERROR(INDEX($H$9:$H$16,MATCH(8,$I$9:$I$16,0)),"")</f>
        <v/>
      </c>
      <c r="L16" s="20">
        <f>IFERROR(INDEX($B$9:$B$16,MATCH(8,$I$9:$I$16,0)),"")</f>
        <v/>
      </c>
      <c r="M16" s="30">
        <f>IFERROR(INDEX($G$9:$G$16,MATCH(8,$I$9:$I$16,0)),"")</f>
        <v/>
      </c>
    </row>
    <row r="18">
      <c r="B18" s="31" t="inlineStr">
        <is>
          <t>Criteria anchors: agree these with the weights, BEFORE anyone scores</t>
        </is>
      </c>
    </row>
    <row r="19">
      <c r="B19" s="4" t="inlineStr">
        <is>
          <t>Criterion</t>
        </is>
      </c>
      <c r="C19" s="4" t="inlineStr">
        <is>
          <t>1 means</t>
        </is>
      </c>
      <c r="F19" s="4" t="inlineStr">
        <is>
          <t>5 means</t>
        </is>
      </c>
    </row>
    <row r="20" ht="30" customHeight="1">
      <c r="B20" s="4" t="inlineStr">
        <is>
          <t>Lift</t>
        </is>
      </c>
      <c r="C20" s="32" t="inlineStr">
        <is>
          <t>Barely moves invoices paid on time, or reaches few customers</t>
        </is>
      </c>
      <c r="F20" s="32" t="inlineStr">
        <is>
          <t>Large lift for most of the customer base</t>
        </is>
      </c>
    </row>
    <row r="21" ht="30" customHeight="1">
      <c r="B21" s="4" t="inlineStr">
        <is>
          <t>Revenue</t>
        </is>
      </c>
      <c r="C21" s="32" t="inlineStr">
        <is>
          <t>No effect on revenue or on customers staying</t>
        </is>
      </c>
      <c r="F21" s="32" t="inlineStr">
        <is>
          <t>Clear new revenue, or a top reason customers stay</t>
        </is>
      </c>
    </row>
    <row r="22" ht="30" customHeight="1">
      <c r="B22" s="4" t="inlineStr">
        <is>
          <t>Strategic</t>
        </is>
      </c>
      <c r="C22" s="32" t="inlineStr">
        <is>
          <t>Nice to have</t>
        </is>
      </c>
      <c r="F22" s="32" t="inlineStr">
        <is>
          <t>Legally required, or a bet the company has stated</t>
        </is>
      </c>
    </row>
    <row r="23" ht="30" customHeight="1">
      <c r="B23" s="4" t="inlineStr">
        <is>
          <t>Ease</t>
        </is>
      </c>
      <c r="C23" s="32" t="inlineStr">
        <is>
          <t>6 or more person-months (4 = about 2, 2 = about 4)</t>
        </is>
      </c>
      <c r="F23" s="32" t="inlineStr">
        <is>
          <t>Well under 1 person-month</t>
        </is>
      </c>
    </row>
    <row r="25">
      <c r="B25" s="22" t="inlineStr">
        <is>
          <t>Weighted total = SUMPRODUCT(weights, scores). Equal totals share a rank.</t>
        </is>
      </c>
    </row>
    <row r="26">
      <c r="B26" s="22" t="inlineStr">
        <is>
          <t>Weights and anchors are agreed, written down and dated before scoring. Change them after scoring and the ranking is chosen first, justified second.</t>
        </is>
      </c>
    </row>
    <row r="27">
      <c r="B27" s="22" t="inlineStr">
        <is>
          <t>Like RICE, this tab has no column for time: deadlines are priced by Cost of Delay.</t>
        </is>
      </c>
    </row>
    <row r="28">
      <c r="B28" s="22" t="inlineStr">
        <is>
          <t>Every Tallyrow number is invented for teaching.</t>
        </is>
      </c>
    </row>
  </sheetData>
  <mergeCells count="9">
    <mergeCell ref="F20:H20"/>
    <mergeCell ref="F23:H23"/>
    <mergeCell ref="F21:H21"/>
    <mergeCell ref="F22:H22"/>
    <mergeCell ref="C23:E23"/>
    <mergeCell ref="C22:E22"/>
    <mergeCell ref="C21:E21"/>
    <mergeCell ref="C20:E20"/>
    <mergeCell ref="C6:E6"/>
  </mergeCells>
  <conditionalFormatting sqref="G5">
    <cfRule type="expression" priority="1" dxfId="0">
      <formula>LEFT($G$5,1)="✗"</formula>
    </cfRule>
  </conditionalFormatting>
  <conditionalFormatting sqref="K9:M16">
    <cfRule type="expression" priority="2" dxfId="0" stopIfTrue="1">
      <formula>$L9="E-invoicing"</formula>
    </cfRule>
  </conditionalFormatting>
  <conditionalFormatting sqref="K9:M9">
    <cfRule type="expression" priority="3" dxfId="1">
      <formula>$L$9&lt;&gt;""</formula>
    </cfRule>
  </conditionalFormatting>
  <dataValidations count="1">
    <dataValidation sqref="C9:F16" showDropDown="0" showInputMessage="0" showErrorMessage="1" allowBlank="1" error="Score each criterion 1 to 5, using the anchors below" type="whole" operator="between">
      <formula1>1</formula1>
      <formula2>5</formula2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451D1"/>
    <outlinePr summaryBelow="1" summaryRight="1"/>
    <pageSetUpPr fitToPage="1"/>
  </sheetPr>
  <dimension ref="A1:M34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7" customWidth="1" min="8" max="8"/>
    <col hidden="1" width="4" customWidth="1" min="9" max="9"/>
    <col width="3" customWidth="1" min="10" max="10"/>
    <col width="7" customWidth="1" min="11" max="11"/>
    <col width="22" customWidth="1" min="12" max="12"/>
    <col width="10" customWidth="1" min="13" max="13"/>
  </cols>
  <sheetData>
    <row r="1">
      <c r="A1" s="7" t="inlineStr">
        <is>
          <t>Weighted scoring · your backlog</t>
        </is>
      </c>
    </row>
    <row r="2">
      <c r="A2" s="5" t="inlineStr">
        <is>
          <t>Step 1: criteria, weights (total 100%) and anchors, agreed and dated. Step 2: only then, score each item 1-5.</t>
        </is>
      </c>
    </row>
    <row r="4" ht="44" customHeight="1">
      <c r="B4" s="4" t="inlineStr">
        <is>
          <t>Criterion</t>
        </is>
      </c>
      <c r="C4" s="23" t="inlineStr">
        <is>
          <t>Lift to invoices paid on time</t>
        </is>
      </c>
      <c r="D4" s="23" t="inlineStr">
        <is>
          <t>Revenue and retention</t>
        </is>
      </c>
      <c r="E4" s="23" t="inlineStr">
        <is>
          <t>Strategic or compliance need</t>
        </is>
      </c>
      <c r="F4" s="23" t="inlineStr">
        <is>
          <t>Ease</t>
        </is>
      </c>
      <c r="G4" s="24" t="inlineStr">
        <is>
          <t>Weights total</t>
        </is>
      </c>
    </row>
    <row r="5" ht="26" customHeight="1">
      <c r="B5" s="4" t="inlineStr">
        <is>
          <t>Weight</t>
        </is>
      </c>
      <c r="C5" s="25" t="n"/>
      <c r="D5" s="25" t="n"/>
      <c r="E5" s="25" t="n"/>
      <c r="F5" s="25" t="n"/>
      <c r="G5" s="26">
        <f>IF(COUNT(C5:F5)=0,"",IF(ROUND(SUM(C5:F5),4)=1,"✓ 100%","✗ "&amp;TEXT(SUM(C5:F5),"0%")))</f>
        <v/>
      </c>
    </row>
    <row r="6">
      <c r="B6" s="4" t="inlineStr">
        <is>
          <t>Agreed by / date</t>
        </is>
      </c>
      <c r="C6" s="27" t="inlineStr"/>
      <c r="F6" s="27" t="inlineStr"/>
    </row>
    <row r="8" ht="30" customHeight="1">
      <c r="A8" s="8" t="inlineStr">
        <is>
          <t>#</t>
        </is>
      </c>
      <c r="B8" s="8" t="inlineStr">
        <is>
          <t>Item</t>
        </is>
      </c>
      <c r="C8" s="8" t="inlineStr">
        <is>
          <t>Lift (1-5)</t>
        </is>
      </c>
      <c r="D8" s="8" t="inlineStr">
        <is>
          <t>Revenue (1-5)</t>
        </is>
      </c>
      <c r="E8" s="8" t="inlineStr">
        <is>
          <t>Strategic (1-5)</t>
        </is>
      </c>
      <c r="F8" s="8" t="inlineStr">
        <is>
          <t>Ease (1-5)</t>
        </is>
      </c>
      <c r="G8" s="8" t="inlineStr">
        <is>
          <t>Weighted total</t>
        </is>
      </c>
      <c r="H8" s="8" t="inlineStr">
        <is>
          <t>Rank</t>
        </is>
      </c>
      <c r="K8" s="9" t="inlineStr">
        <is>
          <t>Rank</t>
        </is>
      </c>
      <c r="L8" s="9" t="inlineStr">
        <is>
          <t>Ranked view</t>
        </is>
      </c>
      <c r="M8" s="9" t="inlineStr">
        <is>
          <t>Total</t>
        </is>
      </c>
    </row>
    <row r="9" ht="24" customHeight="1">
      <c r="A9" s="19" t="n">
        <v>1</v>
      </c>
      <c r="B9" s="20" t="n"/>
      <c r="C9" s="28" t="n"/>
      <c r="D9" s="28" t="n"/>
      <c r="E9" s="28" t="n"/>
      <c r="F9" s="28" t="n"/>
      <c r="G9" s="29">
        <f>IF(COUNT(C9:F9)&lt;4,"",SUMPRODUCT($C$5:$F$5,C9:F9))</f>
        <v/>
      </c>
      <c r="H9" s="19">
        <f>IF(G9="","",COUNTIF($G$9:$G$23,"&gt;"&amp;(G9+0.005))+1)</f>
        <v/>
      </c>
      <c r="I9">
        <f>IF(H9="","",H9+COUNTIF($H$9:H9,H9)-1)</f>
        <v/>
      </c>
      <c r="K9" s="19">
        <f>IFERROR(INDEX($H$9:$H$23,MATCH(1,$I$9:$I$23,0)),"")</f>
        <v/>
      </c>
      <c r="L9" s="20">
        <f>IFERROR(INDEX($B$9:$B$23,MATCH(1,$I$9:$I$23,0)),"")</f>
        <v/>
      </c>
      <c r="M9" s="30">
        <f>IFERROR(INDEX($G$9:$G$23,MATCH(1,$I$9:$I$23,0)),"")</f>
        <v/>
      </c>
    </row>
    <row r="10" ht="24" customHeight="1">
      <c r="A10" s="19" t="n">
        <v>2</v>
      </c>
      <c r="B10" s="20" t="n"/>
      <c r="C10" s="28" t="n"/>
      <c r="D10" s="28" t="n"/>
      <c r="E10" s="28" t="n"/>
      <c r="F10" s="28" t="n"/>
      <c r="G10" s="29">
        <f>IF(COUNT(C10:F10)&lt;4,"",SUMPRODUCT($C$5:$F$5,C10:F10))</f>
        <v/>
      </c>
      <c r="H10" s="19">
        <f>IF(G10="","",COUNTIF($G$9:$G$23,"&gt;"&amp;(G10+0.005))+1)</f>
        <v/>
      </c>
      <c r="I10">
        <f>IF(H10="","",H10+COUNTIF($H$9:H10,H10)-1)</f>
        <v/>
      </c>
      <c r="K10" s="19">
        <f>IFERROR(INDEX($H$9:$H$23,MATCH(2,$I$9:$I$23,0)),"")</f>
        <v/>
      </c>
      <c r="L10" s="20">
        <f>IFERROR(INDEX($B$9:$B$23,MATCH(2,$I$9:$I$23,0)),"")</f>
        <v/>
      </c>
      <c r="M10" s="30">
        <f>IFERROR(INDEX($G$9:$G$23,MATCH(2,$I$9:$I$23,0)),"")</f>
        <v/>
      </c>
    </row>
    <row r="11" ht="24" customHeight="1">
      <c r="A11" s="19" t="n">
        <v>3</v>
      </c>
      <c r="B11" s="20" t="n"/>
      <c r="C11" s="28" t="n"/>
      <c r="D11" s="28" t="n"/>
      <c r="E11" s="28" t="n"/>
      <c r="F11" s="28" t="n"/>
      <c r="G11" s="29">
        <f>IF(COUNT(C11:F11)&lt;4,"",SUMPRODUCT($C$5:$F$5,C11:F11))</f>
        <v/>
      </c>
      <c r="H11" s="19">
        <f>IF(G11="","",COUNTIF($G$9:$G$23,"&gt;"&amp;(G11+0.005))+1)</f>
        <v/>
      </c>
      <c r="I11">
        <f>IF(H11="","",H11+COUNTIF($H$9:H11,H11)-1)</f>
        <v/>
      </c>
      <c r="K11" s="19">
        <f>IFERROR(INDEX($H$9:$H$23,MATCH(3,$I$9:$I$23,0)),"")</f>
        <v/>
      </c>
      <c r="L11" s="20">
        <f>IFERROR(INDEX($B$9:$B$23,MATCH(3,$I$9:$I$23,0)),"")</f>
        <v/>
      </c>
      <c r="M11" s="30">
        <f>IFERROR(INDEX($G$9:$G$23,MATCH(3,$I$9:$I$23,0)),"")</f>
        <v/>
      </c>
    </row>
    <row r="12" ht="24" customHeight="1">
      <c r="A12" s="19" t="n">
        <v>4</v>
      </c>
      <c r="B12" s="20" t="n"/>
      <c r="C12" s="28" t="n"/>
      <c r="D12" s="28" t="n"/>
      <c r="E12" s="28" t="n"/>
      <c r="F12" s="28" t="n"/>
      <c r="G12" s="29">
        <f>IF(COUNT(C12:F12)&lt;4,"",SUMPRODUCT($C$5:$F$5,C12:F12))</f>
        <v/>
      </c>
      <c r="H12" s="19">
        <f>IF(G12="","",COUNTIF($G$9:$G$23,"&gt;"&amp;(G12+0.005))+1)</f>
        <v/>
      </c>
      <c r="I12">
        <f>IF(H12="","",H12+COUNTIF($H$9:H12,H12)-1)</f>
        <v/>
      </c>
      <c r="K12" s="19">
        <f>IFERROR(INDEX($H$9:$H$23,MATCH(4,$I$9:$I$23,0)),"")</f>
        <v/>
      </c>
      <c r="L12" s="20">
        <f>IFERROR(INDEX($B$9:$B$23,MATCH(4,$I$9:$I$23,0)),"")</f>
        <v/>
      </c>
      <c r="M12" s="30">
        <f>IFERROR(INDEX($G$9:$G$23,MATCH(4,$I$9:$I$23,0)),"")</f>
        <v/>
      </c>
    </row>
    <row r="13" ht="24" customHeight="1">
      <c r="A13" s="19" t="n">
        <v>5</v>
      </c>
      <c r="B13" s="20" t="n"/>
      <c r="C13" s="28" t="n"/>
      <c r="D13" s="28" t="n"/>
      <c r="E13" s="28" t="n"/>
      <c r="F13" s="28" t="n"/>
      <c r="G13" s="29">
        <f>IF(COUNT(C13:F13)&lt;4,"",SUMPRODUCT($C$5:$F$5,C13:F13))</f>
        <v/>
      </c>
      <c r="H13" s="19">
        <f>IF(G13="","",COUNTIF($G$9:$G$23,"&gt;"&amp;(G13+0.005))+1)</f>
        <v/>
      </c>
      <c r="I13">
        <f>IF(H13="","",H13+COUNTIF($H$9:H13,H13)-1)</f>
        <v/>
      </c>
      <c r="K13" s="19">
        <f>IFERROR(INDEX($H$9:$H$23,MATCH(5,$I$9:$I$23,0)),"")</f>
        <v/>
      </c>
      <c r="L13" s="20">
        <f>IFERROR(INDEX($B$9:$B$23,MATCH(5,$I$9:$I$23,0)),"")</f>
        <v/>
      </c>
      <c r="M13" s="30">
        <f>IFERROR(INDEX($G$9:$G$23,MATCH(5,$I$9:$I$23,0)),"")</f>
        <v/>
      </c>
    </row>
    <row r="14" ht="24" customHeight="1">
      <c r="A14" s="19" t="n">
        <v>6</v>
      </c>
      <c r="B14" s="20" t="n"/>
      <c r="C14" s="28" t="n"/>
      <c r="D14" s="28" t="n"/>
      <c r="E14" s="28" t="n"/>
      <c r="F14" s="28" t="n"/>
      <c r="G14" s="29">
        <f>IF(COUNT(C14:F14)&lt;4,"",SUMPRODUCT($C$5:$F$5,C14:F14))</f>
        <v/>
      </c>
      <c r="H14" s="19">
        <f>IF(G14="","",COUNTIF($G$9:$G$23,"&gt;"&amp;(G14+0.005))+1)</f>
        <v/>
      </c>
      <c r="I14">
        <f>IF(H14="","",H14+COUNTIF($H$9:H14,H14)-1)</f>
        <v/>
      </c>
      <c r="K14" s="19">
        <f>IFERROR(INDEX($H$9:$H$23,MATCH(6,$I$9:$I$23,0)),"")</f>
        <v/>
      </c>
      <c r="L14" s="20">
        <f>IFERROR(INDEX($B$9:$B$23,MATCH(6,$I$9:$I$23,0)),"")</f>
        <v/>
      </c>
      <c r="M14" s="30">
        <f>IFERROR(INDEX($G$9:$G$23,MATCH(6,$I$9:$I$23,0)),"")</f>
        <v/>
      </c>
    </row>
    <row r="15" ht="24" customHeight="1">
      <c r="A15" s="19" t="n">
        <v>7</v>
      </c>
      <c r="B15" s="20" t="n"/>
      <c r="C15" s="28" t="n"/>
      <c r="D15" s="28" t="n"/>
      <c r="E15" s="28" t="n"/>
      <c r="F15" s="28" t="n"/>
      <c r="G15" s="29">
        <f>IF(COUNT(C15:F15)&lt;4,"",SUMPRODUCT($C$5:$F$5,C15:F15))</f>
        <v/>
      </c>
      <c r="H15" s="19">
        <f>IF(G15="","",COUNTIF($G$9:$G$23,"&gt;"&amp;(G15+0.005))+1)</f>
        <v/>
      </c>
      <c r="I15">
        <f>IF(H15="","",H15+COUNTIF($H$9:H15,H15)-1)</f>
        <v/>
      </c>
      <c r="K15" s="19">
        <f>IFERROR(INDEX($H$9:$H$23,MATCH(7,$I$9:$I$23,0)),"")</f>
        <v/>
      </c>
      <c r="L15" s="20">
        <f>IFERROR(INDEX($B$9:$B$23,MATCH(7,$I$9:$I$23,0)),"")</f>
        <v/>
      </c>
      <c r="M15" s="30">
        <f>IFERROR(INDEX($G$9:$G$23,MATCH(7,$I$9:$I$23,0)),"")</f>
        <v/>
      </c>
    </row>
    <row r="16" ht="24" customHeight="1">
      <c r="A16" s="19" t="n">
        <v>8</v>
      </c>
      <c r="B16" s="20" t="n"/>
      <c r="C16" s="28" t="n"/>
      <c r="D16" s="28" t="n"/>
      <c r="E16" s="28" t="n"/>
      <c r="F16" s="28" t="n"/>
      <c r="G16" s="29">
        <f>IF(COUNT(C16:F16)&lt;4,"",SUMPRODUCT($C$5:$F$5,C16:F16))</f>
        <v/>
      </c>
      <c r="H16" s="19">
        <f>IF(G16="","",COUNTIF($G$9:$G$23,"&gt;"&amp;(G16+0.005))+1)</f>
        <v/>
      </c>
      <c r="I16">
        <f>IF(H16="","",H16+COUNTIF($H$9:H16,H16)-1)</f>
        <v/>
      </c>
      <c r="K16" s="19">
        <f>IFERROR(INDEX($H$9:$H$23,MATCH(8,$I$9:$I$23,0)),"")</f>
        <v/>
      </c>
      <c r="L16" s="20">
        <f>IFERROR(INDEX($B$9:$B$23,MATCH(8,$I$9:$I$23,0)),"")</f>
        <v/>
      </c>
      <c r="M16" s="30">
        <f>IFERROR(INDEX($G$9:$G$23,MATCH(8,$I$9:$I$23,0)),"")</f>
        <v/>
      </c>
    </row>
    <row r="17" ht="24" customHeight="1">
      <c r="A17" s="19" t="n">
        <v>9</v>
      </c>
      <c r="B17" s="20" t="n"/>
      <c r="C17" s="28" t="n"/>
      <c r="D17" s="28" t="n"/>
      <c r="E17" s="28" t="n"/>
      <c r="F17" s="28" t="n"/>
      <c r="G17" s="29">
        <f>IF(COUNT(C17:F17)&lt;4,"",SUMPRODUCT($C$5:$F$5,C17:F17))</f>
        <v/>
      </c>
      <c r="H17" s="19">
        <f>IF(G17="","",COUNTIF($G$9:$G$23,"&gt;"&amp;(G17+0.005))+1)</f>
        <v/>
      </c>
      <c r="I17">
        <f>IF(H17="","",H17+COUNTIF($H$9:H17,H17)-1)</f>
        <v/>
      </c>
      <c r="K17" s="19">
        <f>IFERROR(INDEX($H$9:$H$23,MATCH(9,$I$9:$I$23,0)),"")</f>
        <v/>
      </c>
      <c r="L17" s="20">
        <f>IFERROR(INDEX($B$9:$B$23,MATCH(9,$I$9:$I$23,0)),"")</f>
        <v/>
      </c>
      <c r="M17" s="30">
        <f>IFERROR(INDEX($G$9:$G$23,MATCH(9,$I$9:$I$23,0)),"")</f>
        <v/>
      </c>
    </row>
    <row r="18" ht="24" customHeight="1">
      <c r="A18" s="19" t="n">
        <v>10</v>
      </c>
      <c r="B18" s="20" t="n"/>
      <c r="C18" s="28" t="n"/>
      <c r="D18" s="28" t="n"/>
      <c r="E18" s="28" t="n"/>
      <c r="F18" s="28" t="n"/>
      <c r="G18" s="29">
        <f>IF(COUNT(C18:F18)&lt;4,"",SUMPRODUCT($C$5:$F$5,C18:F18))</f>
        <v/>
      </c>
      <c r="H18" s="19">
        <f>IF(G18="","",COUNTIF($G$9:$G$23,"&gt;"&amp;(G18+0.005))+1)</f>
        <v/>
      </c>
      <c r="I18">
        <f>IF(H18="","",H18+COUNTIF($H$9:H18,H18)-1)</f>
        <v/>
      </c>
      <c r="K18" s="19">
        <f>IFERROR(INDEX($H$9:$H$23,MATCH(10,$I$9:$I$23,0)),"")</f>
        <v/>
      </c>
      <c r="L18" s="20">
        <f>IFERROR(INDEX($B$9:$B$23,MATCH(10,$I$9:$I$23,0)),"")</f>
        <v/>
      </c>
      <c r="M18" s="30">
        <f>IFERROR(INDEX($G$9:$G$23,MATCH(10,$I$9:$I$23,0)),"")</f>
        <v/>
      </c>
    </row>
    <row r="19" ht="24" customHeight="1">
      <c r="A19" s="19" t="n">
        <v>11</v>
      </c>
      <c r="B19" s="20" t="n"/>
      <c r="C19" s="28" t="n"/>
      <c r="D19" s="28" t="n"/>
      <c r="E19" s="28" t="n"/>
      <c r="F19" s="28" t="n"/>
      <c r="G19" s="29">
        <f>IF(COUNT(C19:F19)&lt;4,"",SUMPRODUCT($C$5:$F$5,C19:F19))</f>
        <v/>
      </c>
      <c r="H19" s="19">
        <f>IF(G19="","",COUNTIF($G$9:$G$23,"&gt;"&amp;(G19+0.005))+1)</f>
        <v/>
      </c>
      <c r="I19">
        <f>IF(H19="","",H19+COUNTIF($H$9:H19,H19)-1)</f>
        <v/>
      </c>
      <c r="K19" s="19">
        <f>IFERROR(INDEX($H$9:$H$23,MATCH(11,$I$9:$I$23,0)),"")</f>
        <v/>
      </c>
      <c r="L19" s="20">
        <f>IFERROR(INDEX($B$9:$B$23,MATCH(11,$I$9:$I$23,0)),"")</f>
        <v/>
      </c>
      <c r="M19" s="30">
        <f>IFERROR(INDEX($G$9:$G$23,MATCH(11,$I$9:$I$23,0)),"")</f>
        <v/>
      </c>
    </row>
    <row r="20" ht="24" customHeight="1">
      <c r="A20" s="19" t="n">
        <v>12</v>
      </c>
      <c r="B20" s="20" t="n"/>
      <c r="C20" s="28" t="n"/>
      <c r="D20" s="28" t="n"/>
      <c r="E20" s="28" t="n"/>
      <c r="F20" s="28" t="n"/>
      <c r="G20" s="29">
        <f>IF(COUNT(C20:F20)&lt;4,"",SUMPRODUCT($C$5:$F$5,C20:F20))</f>
        <v/>
      </c>
      <c r="H20" s="19">
        <f>IF(G20="","",COUNTIF($G$9:$G$23,"&gt;"&amp;(G20+0.005))+1)</f>
        <v/>
      </c>
      <c r="I20">
        <f>IF(H20="","",H20+COUNTIF($H$9:H20,H20)-1)</f>
        <v/>
      </c>
      <c r="K20" s="19">
        <f>IFERROR(INDEX($H$9:$H$23,MATCH(12,$I$9:$I$23,0)),"")</f>
        <v/>
      </c>
      <c r="L20" s="20">
        <f>IFERROR(INDEX($B$9:$B$23,MATCH(12,$I$9:$I$23,0)),"")</f>
        <v/>
      </c>
      <c r="M20" s="30">
        <f>IFERROR(INDEX($G$9:$G$23,MATCH(12,$I$9:$I$23,0)),"")</f>
        <v/>
      </c>
    </row>
    <row r="21" ht="24" customHeight="1">
      <c r="A21" s="19" t="n">
        <v>13</v>
      </c>
      <c r="B21" s="20" t="n"/>
      <c r="C21" s="28" t="n"/>
      <c r="D21" s="28" t="n"/>
      <c r="E21" s="28" t="n"/>
      <c r="F21" s="28" t="n"/>
      <c r="G21" s="29">
        <f>IF(COUNT(C21:F21)&lt;4,"",SUMPRODUCT($C$5:$F$5,C21:F21))</f>
        <v/>
      </c>
      <c r="H21" s="19">
        <f>IF(G21="","",COUNTIF($G$9:$G$23,"&gt;"&amp;(G21+0.005))+1)</f>
        <v/>
      </c>
      <c r="I21">
        <f>IF(H21="","",H21+COUNTIF($H$9:H21,H21)-1)</f>
        <v/>
      </c>
      <c r="K21" s="19">
        <f>IFERROR(INDEX($H$9:$H$23,MATCH(13,$I$9:$I$23,0)),"")</f>
        <v/>
      </c>
      <c r="L21" s="20">
        <f>IFERROR(INDEX($B$9:$B$23,MATCH(13,$I$9:$I$23,0)),"")</f>
        <v/>
      </c>
      <c r="M21" s="30">
        <f>IFERROR(INDEX($G$9:$G$23,MATCH(13,$I$9:$I$23,0)),"")</f>
        <v/>
      </c>
    </row>
    <row r="22" ht="24" customHeight="1">
      <c r="A22" s="19" t="n">
        <v>14</v>
      </c>
      <c r="B22" s="20" t="n"/>
      <c r="C22" s="28" t="n"/>
      <c r="D22" s="28" t="n"/>
      <c r="E22" s="28" t="n"/>
      <c r="F22" s="28" t="n"/>
      <c r="G22" s="29">
        <f>IF(COUNT(C22:F22)&lt;4,"",SUMPRODUCT($C$5:$F$5,C22:F22))</f>
        <v/>
      </c>
      <c r="H22" s="19">
        <f>IF(G22="","",COUNTIF($G$9:$G$23,"&gt;"&amp;(G22+0.005))+1)</f>
        <v/>
      </c>
      <c r="I22">
        <f>IF(H22="","",H22+COUNTIF($H$9:H22,H22)-1)</f>
        <v/>
      </c>
      <c r="K22" s="19">
        <f>IFERROR(INDEX($H$9:$H$23,MATCH(14,$I$9:$I$23,0)),"")</f>
        <v/>
      </c>
      <c r="L22" s="20">
        <f>IFERROR(INDEX($B$9:$B$23,MATCH(14,$I$9:$I$23,0)),"")</f>
        <v/>
      </c>
      <c r="M22" s="30">
        <f>IFERROR(INDEX($G$9:$G$23,MATCH(14,$I$9:$I$23,0)),"")</f>
        <v/>
      </c>
    </row>
    <row r="23" ht="24" customHeight="1">
      <c r="A23" s="19" t="n">
        <v>15</v>
      </c>
      <c r="B23" s="20" t="n"/>
      <c r="C23" s="28" t="n"/>
      <c r="D23" s="28" t="n"/>
      <c r="E23" s="28" t="n"/>
      <c r="F23" s="28" t="n"/>
      <c r="G23" s="29">
        <f>IF(COUNT(C23:F23)&lt;4,"",SUMPRODUCT($C$5:$F$5,C23:F23))</f>
        <v/>
      </c>
      <c r="H23" s="19">
        <f>IF(G23="","",COUNTIF($G$9:$G$23,"&gt;"&amp;(G23+0.005))+1)</f>
        <v/>
      </c>
      <c r="I23">
        <f>IF(H23="","",H23+COUNTIF($H$9:H23,H23)-1)</f>
        <v/>
      </c>
      <c r="K23" s="19">
        <f>IFERROR(INDEX($H$9:$H$23,MATCH(15,$I$9:$I$23,0)),"")</f>
        <v/>
      </c>
      <c r="L23" s="20">
        <f>IFERROR(INDEX($B$9:$B$23,MATCH(15,$I$9:$I$23,0)),"")</f>
        <v/>
      </c>
      <c r="M23" s="30">
        <f>IFERROR(INDEX($G$9:$G$23,MATCH(15,$I$9:$I$23,0)),"")</f>
        <v/>
      </c>
    </row>
    <row r="25">
      <c r="B25" s="31" t="inlineStr">
        <is>
          <t>Criteria anchors: agree these with the weights, BEFORE anyone scores</t>
        </is>
      </c>
    </row>
    <row r="26">
      <c r="B26" s="4" t="inlineStr">
        <is>
          <t>Criterion</t>
        </is>
      </c>
      <c r="C26" s="4" t="inlineStr">
        <is>
          <t>1 means</t>
        </is>
      </c>
      <c r="F26" s="4" t="inlineStr">
        <is>
          <t>5 means</t>
        </is>
      </c>
    </row>
    <row r="27" ht="30" customHeight="1">
      <c r="B27" s="4" t="inlineStr">
        <is>
          <t>Lift</t>
        </is>
      </c>
      <c r="C27" s="32" t="inlineStr"/>
      <c r="F27" s="32" t="inlineStr"/>
    </row>
    <row r="28" ht="30" customHeight="1">
      <c r="B28" s="4" t="inlineStr">
        <is>
          <t>Revenue</t>
        </is>
      </c>
      <c r="C28" s="32" t="inlineStr"/>
      <c r="F28" s="32" t="inlineStr"/>
    </row>
    <row r="29" ht="30" customHeight="1">
      <c r="B29" s="4" t="inlineStr">
        <is>
          <t>Strategic</t>
        </is>
      </c>
      <c r="C29" s="32" t="inlineStr"/>
      <c r="F29" s="32" t="inlineStr"/>
    </row>
    <row r="30" ht="30" customHeight="1">
      <c r="B30" s="4" t="inlineStr">
        <is>
          <t>Ease</t>
        </is>
      </c>
      <c r="C30" s="32" t="inlineStr"/>
      <c r="F30" s="32" t="inlineStr"/>
    </row>
    <row r="32">
      <c r="B32" s="22" t="inlineStr">
        <is>
          <t>Weighted total = SUMPRODUCT(weights, scores). Equal totals share a rank.</t>
        </is>
      </c>
    </row>
    <row r="33">
      <c r="B33" s="22" t="inlineStr">
        <is>
          <t>Weights and anchors are agreed, written down and dated before scoring. Change them after scoring and the ranking is chosen first, justified second.</t>
        </is>
      </c>
    </row>
    <row r="34">
      <c r="B34" s="22" t="inlineStr">
        <is>
          <t>Like RICE, this tab has no column for time: deadlines are priced by Cost of Delay.</t>
        </is>
      </c>
    </row>
  </sheetData>
  <mergeCells count="9">
    <mergeCell ref="C28:E28"/>
    <mergeCell ref="C27:E27"/>
    <mergeCell ref="F28:H28"/>
    <mergeCell ref="F27:H27"/>
    <mergeCell ref="F30:H30"/>
    <mergeCell ref="C29:E29"/>
    <mergeCell ref="C30:E30"/>
    <mergeCell ref="F29:H29"/>
    <mergeCell ref="C6:E6"/>
  </mergeCells>
  <conditionalFormatting sqref="G5">
    <cfRule type="expression" priority="1" dxfId="0">
      <formula>LEFT($G$5,1)="✗"</formula>
    </cfRule>
  </conditionalFormatting>
  <conditionalFormatting sqref="K9:M23">
    <cfRule type="expression" priority="2" dxfId="0" stopIfTrue="1">
      <formula>$L9="E-invoicing"</formula>
    </cfRule>
  </conditionalFormatting>
  <conditionalFormatting sqref="K9:M9">
    <cfRule type="expression" priority="3" dxfId="1">
      <formula>$L$9&lt;&gt;""</formula>
    </cfRule>
  </conditionalFormatting>
  <dataValidations count="1">
    <dataValidation sqref="C9:F23" showDropDown="0" showInputMessage="0" showErrorMessage="1" allowBlank="1" error="Score each criterion 1 to 5, using the anchors below" type="whole" operator="between">
      <formula1>1</formula1>
      <formula2>5</formula2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5B5866"/>
    <outlinePr summaryBelow="1" summaryRight="1"/>
    <pageSetUpPr/>
  </sheetPr>
  <dimension ref="A1:G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6" customWidth="1" min="2" max="2"/>
    <col width="11" customWidth="1" min="3" max="3"/>
    <col width="13" customWidth="1" min="4" max="4"/>
    <col width="9" customWidth="1" min="5" max="5"/>
    <col width="12" customWidth="1" min="6" max="6"/>
    <col width="7" customWidth="1" min="7" max="7"/>
  </cols>
  <sheetData>
    <row r="1">
      <c r="A1" s="7" t="inlineStr">
        <is>
          <t>ICE · small experiments</t>
        </is>
      </c>
    </row>
    <row r="2">
      <c r="A2" s="5" t="inlineStr">
        <is>
          <t>For a pile of small, cheap tests, not roadmap bets. Impact, Confidence, Ease: 1-10 each, multiplied.</t>
        </is>
      </c>
    </row>
    <row r="4">
      <c r="A4" s="33" t="inlineStr">
        <is>
          <t>#</t>
        </is>
      </c>
      <c r="B4" s="33" t="inlineStr">
        <is>
          <t>Experiment idea</t>
        </is>
      </c>
      <c r="C4" s="33" t="inlineStr">
        <is>
          <t>Impact</t>
        </is>
      </c>
      <c r="D4" s="33" t="inlineStr">
        <is>
          <t>Confidence</t>
        </is>
      </c>
      <c r="E4" s="33" t="inlineStr">
        <is>
          <t>Ease</t>
        </is>
      </c>
      <c r="F4" s="33" t="inlineStr">
        <is>
          <t>ICE score</t>
        </is>
      </c>
      <c r="G4" s="33" t="inlineStr">
        <is>
          <t>Rank</t>
        </is>
      </c>
    </row>
    <row r="5">
      <c r="A5" s="19" t="n">
        <v>1</v>
      </c>
      <c r="B5" s="20" t="inlineStr">
        <is>
          <t>"Pay now" button in the reminder email</t>
        </is>
      </c>
      <c r="C5" s="28" t="n">
        <v>7</v>
      </c>
      <c r="D5" s="28" t="n">
        <v>8</v>
      </c>
      <c r="E5" s="28" t="n">
        <v>9</v>
      </c>
      <c r="F5" s="34">
        <f>IF(COUNT(C5:E5)&lt;3,"",C5*D5*E5)</f>
        <v/>
      </c>
      <c r="G5" s="19">
        <f>IF(F5="","",RANK(F5,$F$5:$F$19))</f>
        <v/>
      </c>
    </row>
    <row r="6">
      <c r="A6" s="19" t="n">
        <v>2</v>
      </c>
      <c r="B6" s="20" t="inlineStr">
        <is>
          <t>Reminder three days before the due date</t>
        </is>
      </c>
      <c r="C6" s="28" t="n">
        <v>6</v>
      </c>
      <c r="D6" s="28" t="n">
        <v>5</v>
      </c>
      <c r="E6" s="28" t="n">
        <v>8</v>
      </c>
      <c r="F6" s="34">
        <f>IF(COUNT(C6:E6)&lt;3,"",C6*D6*E6)</f>
        <v/>
      </c>
      <c r="G6" s="19">
        <f>IF(F6="","",RANK(F6,$F$5:$F$19))</f>
        <v/>
      </c>
    </row>
    <row r="7">
      <c r="A7" s="19" t="n">
        <v>3</v>
      </c>
      <c r="B7" s="20" t="inlineStr">
        <is>
          <t>Friendlier subject line</t>
        </is>
      </c>
      <c r="C7" s="28" t="n">
        <v>3</v>
      </c>
      <c r="D7" s="28" t="n">
        <v>6</v>
      </c>
      <c r="E7" s="28" t="n">
        <v>10</v>
      </c>
      <c r="F7" s="34">
        <f>IF(COUNT(C7:E7)&lt;3,"",C7*D7*E7)</f>
        <v/>
      </c>
      <c r="G7" s="19">
        <f>IF(F7="","",RANK(F7,$F$5:$F$19))</f>
        <v/>
      </c>
    </row>
    <row r="8">
      <c r="A8" s="19" t="n">
        <v>4</v>
      </c>
      <c r="B8" s="20" t="inlineStr">
        <is>
          <t>SMS reminders</t>
        </is>
      </c>
      <c r="C8" s="28" t="n">
        <v>6</v>
      </c>
      <c r="D8" s="28" t="n">
        <v>4</v>
      </c>
      <c r="E8" s="28" t="n">
        <v>3</v>
      </c>
      <c r="F8" s="34">
        <f>IF(COUNT(C8:E8)&lt;3,"",C8*D8*E8)</f>
        <v/>
      </c>
      <c r="G8" s="19">
        <f>IF(F8="","",RANK(F8,$F$5:$F$19))</f>
        <v/>
      </c>
    </row>
    <row r="9">
      <c r="A9" s="19" t="n">
        <v>5</v>
      </c>
      <c r="B9" s="20" t="inlineStr">
        <is>
          <t>Show the business its client's payment history</t>
        </is>
      </c>
      <c r="C9" s="28" t="n">
        <v>4</v>
      </c>
      <c r="D9" s="28" t="n">
        <v>3</v>
      </c>
      <c r="E9" s="28" t="n">
        <v>5</v>
      </c>
      <c r="F9" s="34">
        <f>IF(COUNT(C9:E9)&lt;3,"",C9*D9*E9)</f>
        <v/>
      </c>
      <c r="G9" s="19">
        <f>IF(F9="","",RANK(F9,$F$5:$F$19))</f>
        <v/>
      </c>
    </row>
    <row r="10">
      <c r="A10" s="19" t="n">
        <v>6</v>
      </c>
      <c r="B10" s="20" t="n"/>
      <c r="C10" s="28" t="n"/>
      <c r="D10" s="28" t="n"/>
      <c r="E10" s="28" t="n"/>
      <c r="F10" s="34">
        <f>IF(COUNT(C10:E10)&lt;3,"",C10*D10*E10)</f>
        <v/>
      </c>
      <c r="G10" s="19">
        <f>IF(F10="","",RANK(F10,$F$5:$F$19))</f>
        <v/>
      </c>
    </row>
    <row r="11">
      <c r="A11" s="19" t="n">
        <v>7</v>
      </c>
      <c r="B11" s="20" t="n"/>
      <c r="C11" s="28" t="n"/>
      <c r="D11" s="28" t="n"/>
      <c r="E11" s="28" t="n"/>
      <c r="F11" s="34">
        <f>IF(COUNT(C11:E11)&lt;3,"",C11*D11*E11)</f>
        <v/>
      </c>
      <c r="G11" s="19">
        <f>IF(F11="","",RANK(F11,$F$5:$F$19))</f>
        <v/>
      </c>
    </row>
    <row r="12">
      <c r="A12" s="19" t="n">
        <v>8</v>
      </c>
      <c r="B12" s="20" t="n"/>
      <c r="C12" s="28" t="n"/>
      <c r="D12" s="28" t="n"/>
      <c r="E12" s="28" t="n"/>
      <c r="F12" s="34">
        <f>IF(COUNT(C12:E12)&lt;3,"",C12*D12*E12)</f>
        <v/>
      </c>
      <c r="G12" s="19">
        <f>IF(F12="","",RANK(F12,$F$5:$F$19))</f>
        <v/>
      </c>
    </row>
    <row r="13">
      <c r="A13" s="19" t="n">
        <v>9</v>
      </c>
      <c r="B13" s="20" t="n"/>
      <c r="C13" s="28" t="n"/>
      <c r="D13" s="28" t="n"/>
      <c r="E13" s="28" t="n"/>
      <c r="F13" s="34">
        <f>IF(COUNT(C13:E13)&lt;3,"",C13*D13*E13)</f>
        <v/>
      </c>
      <c r="G13" s="19">
        <f>IF(F13="","",RANK(F13,$F$5:$F$19))</f>
        <v/>
      </c>
    </row>
    <row r="14">
      <c r="A14" s="19" t="n">
        <v>10</v>
      </c>
      <c r="B14" s="20" t="n"/>
      <c r="C14" s="28" t="n"/>
      <c r="D14" s="28" t="n"/>
      <c r="E14" s="28" t="n"/>
      <c r="F14" s="34">
        <f>IF(COUNT(C14:E14)&lt;3,"",C14*D14*E14)</f>
        <v/>
      </c>
      <c r="G14" s="19">
        <f>IF(F14="","",RANK(F14,$F$5:$F$19))</f>
        <v/>
      </c>
    </row>
    <row r="15">
      <c r="A15" s="19" t="n">
        <v>11</v>
      </c>
      <c r="B15" s="20" t="n"/>
      <c r="C15" s="28" t="n"/>
      <c r="D15" s="28" t="n"/>
      <c r="E15" s="28" t="n"/>
      <c r="F15" s="34">
        <f>IF(COUNT(C15:E15)&lt;3,"",C15*D15*E15)</f>
        <v/>
      </c>
      <c r="G15" s="19">
        <f>IF(F15="","",RANK(F15,$F$5:$F$19))</f>
        <v/>
      </c>
    </row>
    <row r="16">
      <c r="A16" s="19" t="n">
        <v>12</v>
      </c>
      <c r="B16" s="20" t="n"/>
      <c r="C16" s="28" t="n"/>
      <c r="D16" s="28" t="n"/>
      <c r="E16" s="28" t="n"/>
      <c r="F16" s="34">
        <f>IF(COUNT(C16:E16)&lt;3,"",C16*D16*E16)</f>
        <v/>
      </c>
      <c r="G16" s="19">
        <f>IF(F16="","",RANK(F16,$F$5:$F$19))</f>
        <v/>
      </c>
    </row>
    <row r="17">
      <c r="A17" s="19" t="n">
        <v>13</v>
      </c>
      <c r="B17" s="20" t="n"/>
      <c r="C17" s="28" t="n"/>
      <c r="D17" s="28" t="n"/>
      <c r="E17" s="28" t="n"/>
      <c r="F17" s="34">
        <f>IF(COUNT(C17:E17)&lt;3,"",C17*D17*E17)</f>
        <v/>
      </c>
      <c r="G17" s="19">
        <f>IF(F17="","",RANK(F17,$F$5:$F$19))</f>
        <v/>
      </c>
    </row>
    <row r="18">
      <c r="A18" s="19" t="n">
        <v>14</v>
      </c>
      <c r="B18" s="20" t="n"/>
      <c r="C18" s="28" t="n"/>
      <c r="D18" s="28" t="n"/>
      <c r="E18" s="28" t="n"/>
      <c r="F18" s="34">
        <f>IF(COUNT(C18:E18)&lt;3,"",C18*D18*E18)</f>
        <v/>
      </c>
      <c r="G18" s="19">
        <f>IF(F18="","",RANK(F18,$F$5:$F$19))</f>
        <v/>
      </c>
    </row>
    <row r="19">
      <c r="A19" s="19" t="n">
        <v>15</v>
      </c>
      <c r="B19" s="20" t="n"/>
      <c r="C19" s="28" t="n"/>
      <c r="D19" s="28" t="n"/>
      <c r="E19" s="28" t="n"/>
      <c r="F19" s="34">
        <f>IF(COUNT(C19:E19)&lt;3,"",C19*D19*E19)</f>
        <v/>
      </c>
      <c r="G19" s="19">
        <f>IF(F19="","",RANK(F19,$F$5:$F$19))</f>
        <v/>
      </c>
    </row>
    <row r="21">
      <c r="B21" s="22" t="inlineStr">
        <is>
          <t>Rows 1-5: the Get Paid squad's reminder-email ideas (Tallyrow, invented). Rows 6-15: yours.</t>
        </is>
      </c>
    </row>
    <row r="22">
      <c r="B22" s="22" t="inlineStr">
        <is>
          <t>ICE is credited to Sean Ellis. Three unanchored 1-10 guesses are easy to inflate: keep it for cheap tests.</t>
        </is>
      </c>
    </row>
  </sheetData>
  <dataValidations count="1">
    <dataValidation sqref="C5:E19" showDropDown="0" showInputMessage="0" showErrorMessage="1" allowBlank="1" error="Score 1 to 10" type="whole" operator="between">
      <formula1>1</formula1>
      <formula2>10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451D1"/>
    <outlinePr summaryBelow="1" summaryRight="1"/>
    <pageSetUpPr fitToPage="1"/>
  </sheetPr>
  <dimension ref="A1:L3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7" customWidth="1" min="2" max="2"/>
    <col width="24" customWidth="1" min="3" max="3"/>
    <col width="11" customWidth="1" min="4" max="4"/>
    <col width="11" customWidth="1" min="5" max="5"/>
    <col width="44" customWidth="1" min="6" max="6"/>
    <col width="3" customWidth="1" min="7" max="7"/>
    <col width="19" customWidth="1" min="8" max="8"/>
    <col width="12" customWidth="1" min="9" max="9"/>
    <col width="11" customWidth="1" min="10" max="10"/>
    <col width="34" customWidth="1" min="11" max="11"/>
    <col width="22" customWidth="1" min="12" max="12"/>
  </cols>
  <sheetData>
    <row r="1">
      <c r="A1" s="7" t="inlineStr">
        <is>
          <t>MoSCoW · Tallyrow quarter</t>
        </is>
      </c>
    </row>
    <row r="2">
      <c r="A2" s="5" t="inlineStr">
        <is>
          <t>The agreed board: every Must passed one of the four tests. Change a category and watch the bar.</t>
        </is>
      </c>
    </row>
    <row r="4" ht="24" customHeight="1">
      <c r="B4" s="4" t="inlineStr">
        <is>
          <t>Capacity this timebox (person-months)</t>
        </is>
      </c>
      <c r="D4" s="35" t="n">
        <v>10</v>
      </c>
    </row>
    <row r="6" ht="30" customHeight="1">
      <c r="A6" s="8" t="inlineStr">
        <is>
          <t>#</t>
        </is>
      </c>
      <c r="B6" s="8" t="inlineStr">
        <is>
          <t>Item</t>
        </is>
      </c>
      <c r="C6" s="8" t="inlineStr">
        <is>
          <t>Requested by</t>
        </is>
      </c>
      <c r="D6" s="8" t="inlineStr">
        <is>
          <t>Effort (p-m)</t>
        </is>
      </c>
      <c r="E6" s="8" t="inlineStr">
        <is>
          <t>Category</t>
        </is>
      </c>
      <c r="F6" s="8" t="inlineStr">
        <is>
          <t>Why · which test?</t>
        </is>
      </c>
      <c r="H6" s="9" t="inlineStr">
        <is>
          <t>Category</t>
        </is>
      </c>
      <c r="I6" s="9" t="inlineStr">
        <is>
          <t>Person-months</t>
        </is>
      </c>
      <c r="J6" s="9" t="inlineStr">
        <is>
          <t>% of capacity</t>
        </is>
      </c>
      <c r="K6" s="9" t="inlineStr">
        <is>
          <t>Bar (█ = ½ person-month)</t>
        </is>
      </c>
      <c r="L6" s="9" t="inlineStr">
        <is>
          <t>Check</t>
        </is>
      </c>
    </row>
    <row r="7" ht="30" customHeight="1">
      <c r="A7" s="10" t="n">
        <v>1</v>
      </c>
      <c r="B7" s="36" t="inlineStr">
        <is>
          <t>Payment link</t>
        </is>
      </c>
      <c r="C7" s="14" t="inlineStr">
        <is>
          <t>Priya (Support)</t>
        </is>
      </c>
      <c r="D7" s="15" t="n">
        <v>2</v>
      </c>
      <c r="E7" s="37" t="inlineStr">
        <is>
          <t>Must</t>
        </is>
      </c>
      <c r="F7" s="38" t="inlineStr">
        <is>
          <t>No point delivering the quarter without it (getting paid)</t>
        </is>
      </c>
      <c r="H7" s="39" t="inlineStr">
        <is>
          <t>Capacity</t>
        </is>
      </c>
      <c r="I7" s="40">
        <f>IF($D$4="","",$D$4)</f>
        <v/>
      </c>
      <c r="J7" s="41">
        <f>IF(OR($D$4="",I7=""),"",I7/$D$4)</f>
        <v/>
      </c>
      <c r="K7" s="42">
        <f>IF(OR($D$4="",I7=""),"",REPT("░",ROUND(I7*2,0)))</f>
        <v/>
      </c>
      <c r="L7" s="39" t="n"/>
    </row>
    <row r="8" ht="30" customHeight="1">
      <c r="A8" s="10" t="n">
        <v>2</v>
      </c>
      <c r="B8" s="36" t="inlineStr">
        <is>
          <t>Smart reminders</t>
        </is>
      </c>
      <c r="C8" s="14" t="inlineStr">
        <is>
          <t>Maya (CEO)</t>
        </is>
      </c>
      <c r="D8" s="15" t="n">
        <v>4</v>
      </c>
      <c r="E8" s="37" t="inlineStr">
        <is>
          <t>Won't</t>
        </is>
      </c>
      <c r="F8" s="38" t="inlineStr">
        <is>
          <t>Fails every test; untested. Full build: not this time</t>
        </is>
      </c>
      <c r="H8" s="39" t="inlineStr">
        <is>
          <t>Must limit (~60%)</t>
        </is>
      </c>
      <c r="I8" s="40">
        <f>IF($D$4="","",$D$4*0.6)</f>
        <v/>
      </c>
      <c r="J8" s="41">
        <f>IF(OR($D$4="",I8=""),"",I8/$D$4)</f>
        <v/>
      </c>
      <c r="K8" s="42">
        <f>IF(OR($D$4="",I8=""),"",REPT("░",ROUND(I8*2,0)))</f>
        <v/>
      </c>
      <c r="L8" s="39" t="n"/>
    </row>
    <row r="9" ht="30" customHeight="1">
      <c r="A9" s="10" t="n">
        <v>3</v>
      </c>
      <c r="B9" s="36" t="inlineStr">
        <is>
          <t>Recurring invoices</t>
        </is>
      </c>
      <c r="C9" s="14" t="inlineStr">
        <is>
          <t>Customers (top request)</t>
        </is>
      </c>
      <c r="D9" s="15" t="n">
        <v>2</v>
      </c>
      <c r="E9" s="37" t="inlineStr">
        <is>
          <t>Should</t>
        </is>
      </c>
      <c r="F9" s="38" t="inlineStr">
        <is>
          <t>Most requested; painful to leave out, nothing breaks</t>
        </is>
      </c>
      <c r="H9" s="20" t="inlineStr">
        <is>
          <t>Must</t>
        </is>
      </c>
      <c r="I9" s="19">
        <f>SUMIF($E$7:$E$20,"Must",$D$7:$D$20)</f>
        <v/>
      </c>
      <c r="J9" s="43">
        <f>IF(OR($D$4="",I9=""),"",I9/$D$4)</f>
        <v/>
      </c>
      <c r="K9" s="44">
        <f>IF(OR($D$4="",I9=""),"",REPT("█",ROUND(I9*2,0)))</f>
        <v/>
      </c>
      <c r="L9" s="20">
        <f>IF(OR($D$4="",I9=0),"",IF(ROUND(J9,4)&lt;=0.6,"✓ within 60%","✗ over 60%"))</f>
        <v/>
      </c>
    </row>
    <row r="10" ht="30" customHeight="1">
      <c r="A10" s="10" t="n">
        <v>4</v>
      </c>
      <c r="B10" s="36" t="inlineStr">
        <is>
          <t>E-invoicing</t>
        </is>
      </c>
      <c r="C10" s="14" t="inlineStr">
        <is>
          <t>Aisha (Compliance)</t>
        </is>
      </c>
      <c r="D10" s="15" t="n">
        <v>4</v>
      </c>
      <c r="E10" s="37" t="inlineStr">
        <is>
          <t>Must</t>
        </is>
      </c>
      <c r="F10" s="38" t="inlineStr">
        <is>
          <t>Not legal without it (one market)</t>
        </is>
      </c>
      <c r="H10" s="20" t="inlineStr">
        <is>
          <t>Should</t>
        </is>
      </c>
      <c r="I10" s="19">
        <f>SUMIF($E$7:$E$20,"Should",$D$7:$D$20)</f>
        <v/>
      </c>
      <c r="J10" s="43">
        <f>IF(OR($D$4="",I10=""),"",I10/$D$4)</f>
        <v/>
      </c>
      <c r="K10" s="44">
        <f>IF(OR($D$4="",I10=""),"",REPT("█",ROUND(I10*2,0)))</f>
        <v/>
      </c>
      <c r="L10" s="20" t="n"/>
    </row>
    <row r="11" ht="30" customHeight="1">
      <c r="A11" s="10" t="n">
        <v>5</v>
      </c>
      <c r="B11" s="36" t="inlineStr">
        <is>
          <t>Multi-currency</t>
        </is>
      </c>
      <c r="C11" s="14" t="inlineStr">
        <is>
          <t>Daniel (Sales)</t>
        </is>
      </c>
      <c r="D11" s="15" t="n">
        <v>2</v>
      </c>
      <c r="E11" s="37" t="inlineStr">
        <is>
          <t>Won't</t>
        </is>
      </c>
      <c r="F11" s="38" t="inlineStr">
        <is>
          <t>Release works without it. Tell Daniel now</t>
        </is>
      </c>
      <c r="H11" s="20" t="inlineStr">
        <is>
          <t>Could</t>
        </is>
      </c>
      <c r="I11" s="19">
        <f>SUMIF($E$7:$E$20,"Could",$D$7:$D$20)</f>
        <v/>
      </c>
      <c r="J11" s="43">
        <f>IF(OR($D$4="",I11=""),"",I11/$D$4)</f>
        <v/>
      </c>
      <c r="K11" s="44">
        <f>IF(OR($D$4="",I11=""),"",REPT("█",ROUND(I11*2,0)))</f>
        <v/>
      </c>
      <c r="L11" s="20">
        <f>IF(I11&gt;0,"contingency: drop first","")</f>
        <v/>
      </c>
    </row>
    <row r="12" ht="30" customHeight="1">
      <c r="A12" s="10" t="n">
        <v>6</v>
      </c>
      <c r="B12" s="36" t="inlineStr">
        <is>
          <t>Client portal</t>
        </is>
      </c>
      <c r="C12" s="14" t="inlineStr">
        <is>
          <t>Design team</t>
        </is>
      </c>
      <c r="D12" s="15" t="n">
        <v>6</v>
      </c>
      <c r="E12" s="37" t="inlineStr">
        <is>
          <t>Won't</t>
        </is>
      </c>
      <c r="F12" s="38" t="inlineStr">
        <is>
          <t>Not this time</t>
        </is>
      </c>
      <c r="H12" s="20" t="inlineStr">
        <is>
          <t>Planned total</t>
        </is>
      </c>
      <c r="I12" s="19">
        <f>I9+I10+I11</f>
        <v/>
      </c>
      <c r="J12" s="43">
        <f>IF(OR($D$4="",I12=""),"",I12/$D$4)</f>
        <v/>
      </c>
      <c r="K12" s="44">
        <f>IF(OR($D$4="",I12=""),"",REPT("█",ROUND(I12*2,0)))</f>
        <v/>
      </c>
      <c r="L12" s="20">
        <f>IF(OR($D$4="",I12=0),"",IF(ROUND(J12,4)&lt;=1,"✓ fits capacity","✗ over capacity"))</f>
        <v/>
      </c>
    </row>
    <row r="13" ht="30" customHeight="1">
      <c r="A13" s="10" t="n">
        <v>7</v>
      </c>
      <c r="B13" s="36" t="inlineStr">
        <is>
          <t>Late-fee automation</t>
        </is>
      </c>
      <c r="C13" s="14" t="inlineStr">
        <is>
          <t>Tomás (Finance)</t>
        </is>
      </c>
      <c r="D13" s="15" t="n">
        <v>2</v>
      </c>
      <c r="E13" s="37" t="inlineStr">
        <is>
          <t>Won't</t>
        </is>
      </c>
      <c r="F13" s="38" t="inlineStr">
        <is>
          <t>Not this time</t>
        </is>
      </c>
      <c r="H13" s="20" t="inlineStr">
        <is>
          <t>Won't (this time)</t>
        </is>
      </c>
      <c r="I13" s="45">
        <f>COUNTIF($E$7:$E$20,"Won't")</f>
        <v/>
      </c>
      <c r="J13" s="43" t="n"/>
      <c r="K13" s="44" t="n"/>
      <c r="L13" s="20">
        <f>IF(I13=1,"item",IF(I13&gt;1,"items",""))</f>
        <v/>
      </c>
    </row>
    <row r="14" ht="30" customHeight="1">
      <c r="A14" s="10" t="n">
        <v>8</v>
      </c>
      <c r="B14" s="36" t="inlineStr">
        <is>
          <t>Receipt capture</t>
        </is>
      </c>
      <c r="C14" s="14" t="inlineStr">
        <is>
          <t>User survey</t>
        </is>
      </c>
      <c r="D14" s="15" t="n">
        <v>4</v>
      </c>
      <c r="E14" s="37" t="inlineStr">
        <is>
          <t>Won't</t>
        </is>
      </c>
      <c r="F14" s="38" t="inlineStr">
        <is>
          <t>Not this time</t>
        </is>
      </c>
    </row>
    <row r="15" ht="30" customHeight="1">
      <c r="A15" s="10" t="n">
        <v>9</v>
      </c>
      <c r="B15" s="36" t="inlineStr">
        <is>
          <t>Reminders concierge test</t>
        </is>
      </c>
      <c r="C15" s="14" t="inlineStr">
        <is>
          <t>Maya (CEO)</t>
        </is>
      </c>
      <c r="D15" s="15" t="n">
        <v>0.5</v>
      </c>
      <c r="E15" s="37" t="inlineStr">
        <is>
          <t>Could</t>
        </is>
      </c>
      <c r="F15" s="38" t="inlineStr">
        <is>
          <t>Support times reminders by hand for volunteer businesses</t>
        </is>
      </c>
    </row>
    <row r="16" ht="30" customHeight="1">
      <c r="A16" s="10" t="n">
        <v>10</v>
      </c>
      <c r="B16" s="36" t="inlineStr">
        <is>
          <t>Reminders minimal version</t>
        </is>
      </c>
      <c r="C16" s="14" t="inlineStr">
        <is>
          <t>Maya (CEO)</t>
        </is>
      </c>
      <c r="D16" s="15" t="n">
        <v>1.5</v>
      </c>
      <c r="E16" s="37" t="inlineStr">
        <is>
          <t>Could</t>
        </is>
      </c>
      <c r="F16" s="38" t="inlineStr">
        <is>
          <t>Only if the concierge test passes. Dropped first</t>
        </is>
      </c>
    </row>
    <row r="17" ht="30" customHeight="1">
      <c r="A17" s="10" t="n">
        <v>11</v>
      </c>
      <c r="B17" s="36" t="n"/>
      <c r="C17" s="14" t="n"/>
      <c r="D17" s="15" t="n"/>
      <c r="E17" s="37" t="n"/>
      <c r="F17" s="38" t="n"/>
    </row>
    <row r="18" ht="30" customHeight="1">
      <c r="A18" s="10" t="n">
        <v>12</v>
      </c>
      <c r="B18" s="36" t="n"/>
      <c r="C18" s="14" t="n"/>
      <c r="D18" s="15" t="n"/>
      <c r="E18" s="37" t="n"/>
      <c r="F18" s="38" t="n"/>
    </row>
    <row r="19" ht="30" customHeight="1">
      <c r="A19" s="10" t="n">
        <v>13</v>
      </c>
      <c r="B19" s="36" t="n"/>
      <c r="C19" s="14" t="n"/>
      <c r="D19" s="15" t="n"/>
      <c r="E19" s="37" t="n"/>
      <c r="F19" s="38" t="n"/>
    </row>
    <row r="20" ht="30" customHeight="1">
      <c r="A20" s="10" t="n">
        <v>14</v>
      </c>
      <c r="B20" s="36" t="n"/>
      <c r="C20" s="14" t="n"/>
      <c r="D20" s="15" t="n"/>
      <c r="E20" s="37" t="n"/>
      <c r="F20" s="38" t="n"/>
    </row>
    <row r="22">
      <c r="B22" s="31" t="inlineStr">
        <is>
          <t>The four Must tests (DSDM): a Must passes at least one</t>
        </is>
      </c>
    </row>
    <row r="23">
      <c r="B23" s="3" t="inlineStr">
        <is>
          <t>1. No point delivering on the date without it</t>
        </is>
      </c>
      <c r="F23" s="5" t="inlineStr">
        <is>
          <t>Payment link: the quarter is about getting paid</t>
        </is>
      </c>
    </row>
    <row r="24">
      <c r="B24" s="3" t="inlineStr">
        <is>
          <t>2. Not legal without it</t>
        </is>
      </c>
      <c r="F24" s="5" t="inlineStr">
        <is>
          <t>E-invoicing: one market's legal requirement</t>
        </is>
      </c>
    </row>
    <row r="25">
      <c r="B25" s="3" t="inlineStr">
        <is>
          <t>3. Unsafe without it</t>
        </is>
      </c>
    </row>
    <row r="26">
      <c r="B26" s="3" t="inlineStr">
        <is>
          <t>4. Cannot deliver a viable solution without it</t>
        </is>
      </c>
    </row>
    <row r="28">
      <c r="B28" s="46" t="inlineStr">
        <is>
          <t>Must: the Minimum Usable SubseT the timebox guarantees to deliver.</t>
        </is>
      </c>
    </row>
    <row r="29">
      <c r="B29" s="46" t="inlineStr">
        <is>
          <t>Should: important but not vital. Painful to leave out, may need a workaround; the release still works.</t>
        </is>
      </c>
    </row>
    <row r="30">
      <c r="B30" s="46" t="inlineStr">
        <is>
          <t>Could: wanted but less important. Your contingency: the first thing dropped when a Must runs over.</t>
        </is>
      </c>
    </row>
    <row r="31">
      <c r="B31" s="46" t="inlineStr">
        <is>
          <t>Won't (this time): agreed not to be delivered in this timebox. Not rejected, not forgotten.</t>
        </is>
      </c>
    </row>
    <row r="32">
      <c r="B32" s="47" t="inlineStr">
        <is>
          <t>Musts typically no more than about 60% of the effort in the timebox; Coulds around 20%.</t>
        </is>
      </c>
    </row>
    <row r="33">
      <c r="B33" s="47" t="inlineStr">
        <is>
          <t>MoSCoW scopes a fixed timebox; it does not rank. Inside the Musts, use another model to order the work.</t>
        </is>
      </c>
    </row>
    <row r="35">
      <c r="B35" s="22" t="inlineStr">
        <is>
          <t>Source: MoSCoW, Dai Clegg (1994); DSDM, Agile Business Consortium, "MoSCoW Prioritisation".</t>
        </is>
      </c>
    </row>
    <row r="36">
      <c r="B36" s="22" t="inlineStr">
        <is>
          <t>Every Tallyrow number is invented for teaching.</t>
        </is>
      </c>
    </row>
  </sheetData>
  <mergeCells count="1">
    <mergeCell ref="B4:C4"/>
  </mergeCells>
  <conditionalFormatting sqref="E7:E20">
    <cfRule type="expression" priority="1" dxfId="2">
      <formula>$E7="Must"</formula>
    </cfRule>
  </conditionalFormatting>
  <conditionalFormatting sqref="A7:F20">
    <cfRule type="expression" priority="2" dxfId="3">
      <formula>$E7="Won't"</formula>
    </cfRule>
  </conditionalFormatting>
  <conditionalFormatting sqref="H9:L9">
    <cfRule type="expression" priority="3" dxfId="4" stopIfTrue="1">
      <formula>LEFT($L$9,1)="✗"</formula>
    </cfRule>
  </conditionalFormatting>
  <conditionalFormatting sqref="L9">
    <cfRule type="expression" priority="4" dxfId="5">
      <formula>LEFT($L$9,1)="✓"</formula>
    </cfRule>
  </conditionalFormatting>
  <conditionalFormatting sqref="H12:L12">
    <cfRule type="expression" priority="5" dxfId="4" stopIfTrue="1">
      <formula>LEFT($L$12,1)="✗"</formula>
    </cfRule>
  </conditionalFormatting>
  <conditionalFormatting sqref="L12">
    <cfRule type="expression" priority="6" dxfId="5">
      <formula>LEFT($L$12,1)="✓"</formula>
    </cfRule>
  </conditionalFormatting>
  <dataValidations count="1">
    <dataValidation sqref="E7:E20" showDropDown="0" showInputMessage="0" showErrorMessage="1" allowBlank="1" error="Must, Should, Could or Won't (this time)" type="list">
      <formula1>"Must,Should,Could,Won't"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2451D1"/>
    <outlinePr summaryBelow="1" summaryRight="1"/>
    <pageSetUpPr fitToPage="1"/>
  </sheetPr>
  <dimension ref="A1:L4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7" customWidth="1" min="2" max="2"/>
    <col width="24" customWidth="1" min="3" max="3"/>
    <col width="11" customWidth="1" min="4" max="4"/>
    <col width="11" customWidth="1" min="5" max="5"/>
    <col width="44" customWidth="1" min="6" max="6"/>
    <col width="3" customWidth="1" min="7" max="7"/>
    <col width="19" customWidth="1" min="8" max="8"/>
    <col width="12" customWidth="1" min="9" max="9"/>
    <col width="11" customWidth="1" min="10" max="10"/>
    <col width="34" customWidth="1" min="11" max="11"/>
    <col width="22" customWidth="1" min="12" max="12"/>
  </cols>
  <sheetData>
    <row r="1">
      <c r="A1" s="7" t="inlineStr">
        <is>
          <t>MoSCoW · your next release</t>
        </is>
      </c>
    </row>
    <row r="2">
      <c r="A2" s="5" t="inlineStr">
        <is>
          <t>Step 1: enter your capacity in person-months. Step 2: list every item with its effort. Step 3: place each one, then add up the Musts.</t>
        </is>
      </c>
    </row>
    <row r="4" ht="24" customHeight="1">
      <c r="B4" s="4" t="inlineStr">
        <is>
          <t>Capacity this timebox (person-months)</t>
        </is>
      </c>
      <c r="D4" s="35" t="n"/>
    </row>
    <row r="6" ht="30" customHeight="1">
      <c r="A6" s="8" t="inlineStr">
        <is>
          <t>#</t>
        </is>
      </c>
      <c r="B6" s="8" t="inlineStr">
        <is>
          <t>Item</t>
        </is>
      </c>
      <c r="C6" s="8" t="inlineStr">
        <is>
          <t>Requested by</t>
        </is>
      </c>
      <c r="D6" s="8" t="inlineStr">
        <is>
          <t>Effort (p-m)</t>
        </is>
      </c>
      <c r="E6" s="8" t="inlineStr">
        <is>
          <t>Category</t>
        </is>
      </c>
      <c r="F6" s="8" t="inlineStr">
        <is>
          <t>Why · which test?</t>
        </is>
      </c>
      <c r="H6" s="9" t="inlineStr">
        <is>
          <t>Category</t>
        </is>
      </c>
      <c r="I6" s="9" t="inlineStr">
        <is>
          <t>Person-months</t>
        </is>
      </c>
      <c r="J6" s="9" t="inlineStr">
        <is>
          <t>% of capacity</t>
        </is>
      </c>
      <c r="K6" s="9" t="inlineStr">
        <is>
          <t>Bar (█ = ½ person-month)</t>
        </is>
      </c>
      <c r="L6" s="9" t="inlineStr">
        <is>
          <t>Check</t>
        </is>
      </c>
    </row>
    <row r="7" ht="22" customHeight="1">
      <c r="A7" s="10" t="n">
        <v>1</v>
      </c>
      <c r="B7" s="36" t="n"/>
      <c r="C7" s="14" t="n"/>
      <c r="D7" s="15" t="n"/>
      <c r="E7" s="37" t="n"/>
      <c r="F7" s="38" t="n"/>
      <c r="H7" s="39" t="inlineStr">
        <is>
          <t>Capacity</t>
        </is>
      </c>
      <c r="I7" s="40">
        <f>IF($D$4="","",$D$4)</f>
        <v/>
      </c>
      <c r="J7" s="41">
        <f>IF(OR($D$4="",I7=""),"",I7/$D$4)</f>
        <v/>
      </c>
      <c r="K7" s="42">
        <f>IF(OR($D$4="",I7=""),"",REPT("░",ROUND(I7*2,0)))</f>
        <v/>
      </c>
      <c r="L7" s="39" t="n"/>
    </row>
    <row r="8" ht="22" customHeight="1">
      <c r="A8" s="10" t="n">
        <v>2</v>
      </c>
      <c r="B8" s="36" t="n"/>
      <c r="C8" s="14" t="n"/>
      <c r="D8" s="15" t="n"/>
      <c r="E8" s="37" t="n"/>
      <c r="F8" s="38" t="n"/>
      <c r="H8" s="39" t="inlineStr">
        <is>
          <t>Must limit (~60%)</t>
        </is>
      </c>
      <c r="I8" s="40">
        <f>IF($D$4="","",$D$4*0.6)</f>
        <v/>
      </c>
      <c r="J8" s="41">
        <f>IF(OR($D$4="",I8=""),"",I8/$D$4)</f>
        <v/>
      </c>
      <c r="K8" s="42">
        <f>IF(OR($D$4="",I8=""),"",REPT("░",ROUND(I8*2,0)))</f>
        <v/>
      </c>
      <c r="L8" s="39" t="n"/>
    </row>
    <row r="9" ht="22" customHeight="1">
      <c r="A9" s="10" t="n">
        <v>3</v>
      </c>
      <c r="B9" s="36" t="n"/>
      <c r="C9" s="14" t="n"/>
      <c r="D9" s="15" t="n"/>
      <c r="E9" s="37" t="n"/>
      <c r="F9" s="38" t="n"/>
      <c r="H9" s="20" t="inlineStr">
        <is>
          <t>Must</t>
        </is>
      </c>
      <c r="I9" s="19">
        <f>SUMIF($E$7:$E$26,"Must",$D$7:$D$26)</f>
        <v/>
      </c>
      <c r="J9" s="43">
        <f>IF(OR($D$4="",I9=""),"",I9/$D$4)</f>
        <v/>
      </c>
      <c r="K9" s="44">
        <f>IF(OR($D$4="",I9=""),"",REPT("█",ROUND(I9*2,0)))</f>
        <v/>
      </c>
      <c r="L9" s="20">
        <f>IF(OR($D$4="",I9=0),"",IF(ROUND(J9,4)&lt;=0.6,"✓ within 60%","✗ over 60%"))</f>
        <v/>
      </c>
    </row>
    <row r="10" ht="22" customHeight="1">
      <c r="A10" s="10" t="n">
        <v>4</v>
      </c>
      <c r="B10" s="36" t="n"/>
      <c r="C10" s="14" t="n"/>
      <c r="D10" s="15" t="n"/>
      <c r="E10" s="37" t="n"/>
      <c r="F10" s="38" t="n"/>
      <c r="H10" s="20" t="inlineStr">
        <is>
          <t>Should</t>
        </is>
      </c>
      <c r="I10" s="19">
        <f>SUMIF($E$7:$E$26,"Should",$D$7:$D$26)</f>
        <v/>
      </c>
      <c r="J10" s="43">
        <f>IF(OR($D$4="",I10=""),"",I10/$D$4)</f>
        <v/>
      </c>
      <c r="K10" s="44">
        <f>IF(OR($D$4="",I10=""),"",REPT("█",ROUND(I10*2,0)))</f>
        <v/>
      </c>
      <c r="L10" s="20" t="n"/>
    </row>
    <row r="11" ht="22" customHeight="1">
      <c r="A11" s="10" t="n">
        <v>5</v>
      </c>
      <c r="B11" s="36" t="n"/>
      <c r="C11" s="14" t="n"/>
      <c r="D11" s="15" t="n"/>
      <c r="E11" s="37" t="n"/>
      <c r="F11" s="38" t="n"/>
      <c r="H11" s="20" t="inlineStr">
        <is>
          <t>Could</t>
        </is>
      </c>
      <c r="I11" s="19">
        <f>SUMIF($E$7:$E$26,"Could",$D$7:$D$26)</f>
        <v/>
      </c>
      <c r="J11" s="43">
        <f>IF(OR($D$4="",I11=""),"",I11/$D$4)</f>
        <v/>
      </c>
      <c r="K11" s="44">
        <f>IF(OR($D$4="",I11=""),"",REPT("█",ROUND(I11*2,0)))</f>
        <v/>
      </c>
      <c r="L11" s="20">
        <f>IF(I11&gt;0,"contingency: drop first","")</f>
        <v/>
      </c>
    </row>
    <row r="12" ht="22" customHeight="1">
      <c r="A12" s="10" t="n">
        <v>6</v>
      </c>
      <c r="B12" s="36" t="n"/>
      <c r="C12" s="14" t="n"/>
      <c r="D12" s="15" t="n"/>
      <c r="E12" s="37" t="n"/>
      <c r="F12" s="38" t="n"/>
      <c r="H12" s="20" t="inlineStr">
        <is>
          <t>Planned total</t>
        </is>
      </c>
      <c r="I12" s="19">
        <f>I9+I10+I11</f>
        <v/>
      </c>
      <c r="J12" s="43">
        <f>IF(OR($D$4="",I12=""),"",I12/$D$4)</f>
        <v/>
      </c>
      <c r="K12" s="44">
        <f>IF(OR($D$4="",I12=""),"",REPT("█",ROUND(I12*2,0)))</f>
        <v/>
      </c>
      <c r="L12" s="20">
        <f>IF(OR($D$4="",I12=0),"",IF(ROUND(J12,4)&lt;=1,"✓ fits capacity","✗ over capacity"))</f>
        <v/>
      </c>
    </row>
    <row r="13" ht="22" customHeight="1">
      <c r="A13" s="10" t="n">
        <v>7</v>
      </c>
      <c r="B13" s="36" t="n"/>
      <c r="C13" s="14" t="n"/>
      <c r="D13" s="15" t="n"/>
      <c r="E13" s="37" t="n"/>
      <c r="F13" s="38" t="n"/>
      <c r="H13" s="20" t="inlineStr">
        <is>
          <t>Won't (this time)</t>
        </is>
      </c>
      <c r="I13" s="45">
        <f>COUNTIF($E$7:$E$26,"Won't")</f>
        <v/>
      </c>
      <c r="J13" s="43" t="n"/>
      <c r="K13" s="44" t="n"/>
      <c r="L13" s="20">
        <f>IF(I13=1,"item",IF(I13&gt;1,"items",""))</f>
        <v/>
      </c>
    </row>
    <row r="14" ht="22" customHeight="1">
      <c r="A14" s="10" t="n">
        <v>8</v>
      </c>
      <c r="B14" s="36" t="n"/>
      <c r="C14" s="14" t="n"/>
      <c r="D14" s="15" t="n"/>
      <c r="E14" s="37" t="n"/>
      <c r="F14" s="38" t="n"/>
    </row>
    <row r="15" ht="22" customHeight="1">
      <c r="A15" s="10" t="n">
        <v>9</v>
      </c>
      <c r="B15" s="36" t="n"/>
      <c r="C15" s="14" t="n"/>
      <c r="D15" s="15" t="n"/>
      <c r="E15" s="37" t="n"/>
      <c r="F15" s="38" t="n"/>
    </row>
    <row r="16" ht="22" customHeight="1">
      <c r="A16" s="10" t="n">
        <v>10</v>
      </c>
      <c r="B16" s="36" t="n"/>
      <c r="C16" s="14" t="n"/>
      <c r="D16" s="15" t="n"/>
      <c r="E16" s="37" t="n"/>
      <c r="F16" s="38" t="n"/>
    </row>
    <row r="17" ht="22" customHeight="1">
      <c r="A17" s="10" t="n">
        <v>11</v>
      </c>
      <c r="B17" s="36" t="n"/>
      <c r="C17" s="14" t="n"/>
      <c r="D17" s="15" t="n"/>
      <c r="E17" s="37" t="n"/>
      <c r="F17" s="38" t="n"/>
    </row>
    <row r="18" ht="22" customHeight="1">
      <c r="A18" s="10" t="n">
        <v>12</v>
      </c>
      <c r="B18" s="36" t="n"/>
      <c r="C18" s="14" t="n"/>
      <c r="D18" s="15" t="n"/>
      <c r="E18" s="37" t="n"/>
      <c r="F18" s="38" t="n"/>
    </row>
    <row r="19" ht="22" customHeight="1">
      <c r="A19" s="10" t="n">
        <v>13</v>
      </c>
      <c r="B19" s="36" t="n"/>
      <c r="C19" s="14" t="n"/>
      <c r="D19" s="15" t="n"/>
      <c r="E19" s="37" t="n"/>
      <c r="F19" s="38" t="n"/>
    </row>
    <row r="20" ht="22" customHeight="1">
      <c r="A20" s="10" t="n">
        <v>14</v>
      </c>
      <c r="B20" s="36" t="n"/>
      <c r="C20" s="14" t="n"/>
      <c r="D20" s="15" t="n"/>
      <c r="E20" s="37" t="n"/>
      <c r="F20" s="38" t="n"/>
    </row>
    <row r="21" ht="22" customHeight="1">
      <c r="A21" s="10" t="n">
        <v>15</v>
      </c>
      <c r="B21" s="36" t="n"/>
      <c r="C21" s="14" t="n"/>
      <c r="D21" s="15" t="n"/>
      <c r="E21" s="37" t="n"/>
      <c r="F21" s="38" t="n"/>
    </row>
    <row r="22" ht="22" customHeight="1">
      <c r="A22" s="10" t="n">
        <v>16</v>
      </c>
      <c r="B22" s="36" t="n"/>
      <c r="C22" s="14" t="n"/>
      <c r="D22" s="15" t="n"/>
      <c r="E22" s="37" t="n"/>
      <c r="F22" s="38" t="n"/>
    </row>
    <row r="23" ht="22" customHeight="1">
      <c r="A23" s="10" t="n">
        <v>17</v>
      </c>
      <c r="B23" s="36" t="n"/>
      <c r="C23" s="14" t="n"/>
      <c r="D23" s="15" t="n"/>
      <c r="E23" s="37" t="n"/>
      <c r="F23" s="38" t="n"/>
    </row>
    <row r="24" ht="22" customHeight="1">
      <c r="A24" s="10" t="n">
        <v>18</v>
      </c>
      <c r="B24" s="36" t="n"/>
      <c r="C24" s="14" t="n"/>
      <c r="D24" s="15" t="n"/>
      <c r="E24" s="37" t="n"/>
      <c r="F24" s="38" t="n"/>
    </row>
    <row r="25" ht="22" customHeight="1">
      <c r="A25" s="10" t="n">
        <v>19</v>
      </c>
      <c r="B25" s="36" t="n"/>
      <c r="C25" s="14" t="n"/>
      <c r="D25" s="15" t="n"/>
      <c r="E25" s="37" t="n"/>
      <c r="F25" s="38" t="n"/>
    </row>
    <row r="26" ht="22" customHeight="1">
      <c r="A26" s="10" t="n">
        <v>20</v>
      </c>
      <c r="B26" s="36" t="n"/>
      <c r="C26" s="14" t="n"/>
      <c r="D26" s="15" t="n"/>
      <c r="E26" s="37" t="n"/>
      <c r="F26" s="38" t="n"/>
    </row>
    <row r="28">
      <c r="B28" s="31" t="inlineStr">
        <is>
          <t>The four Must tests (DSDM): a Must passes at least one</t>
        </is>
      </c>
    </row>
    <row r="29">
      <c r="B29" s="3" t="inlineStr">
        <is>
          <t>1. No point delivering on the date without it</t>
        </is>
      </c>
    </row>
    <row r="30">
      <c r="B30" s="3" t="inlineStr">
        <is>
          <t>2. Not legal without it</t>
        </is>
      </c>
    </row>
    <row r="31">
      <c r="B31" s="3" t="inlineStr">
        <is>
          <t>3. Unsafe without it</t>
        </is>
      </c>
    </row>
    <row r="32">
      <c r="B32" s="3" t="inlineStr">
        <is>
          <t>4. Cannot deliver a viable solution without it</t>
        </is>
      </c>
    </row>
    <row r="34">
      <c r="B34" s="46" t="inlineStr">
        <is>
          <t>Must: the Minimum Usable SubseT the timebox guarantees to deliver.</t>
        </is>
      </c>
    </row>
    <row r="35">
      <c r="B35" s="46" t="inlineStr">
        <is>
          <t>Should: important but not vital. Painful to leave out, may need a workaround; the release still works.</t>
        </is>
      </c>
    </row>
    <row r="36">
      <c r="B36" s="46" t="inlineStr">
        <is>
          <t>Could: wanted but less important. Your contingency: the first thing dropped when a Must runs over.</t>
        </is>
      </c>
    </row>
    <row r="37">
      <c r="B37" s="46" t="inlineStr">
        <is>
          <t>Won't (this time): agreed not to be delivered in this timebox. Not rejected, not forgotten.</t>
        </is>
      </c>
    </row>
    <row r="38">
      <c r="B38" s="47" t="inlineStr">
        <is>
          <t>Musts typically no more than about 60% of the effort in the timebox; Coulds around 20%.</t>
        </is>
      </c>
    </row>
    <row r="39">
      <c r="B39" s="47" t="inlineStr">
        <is>
          <t>MoSCoW scopes a fixed timebox; it does not rank. Inside the Musts, use another model to order the work.</t>
        </is>
      </c>
    </row>
    <row r="41">
      <c r="B41" s="22" t="inlineStr">
        <is>
          <t>Source: MoSCoW, Dai Clegg (1994); DSDM, Agile Business Consortium, "MoSCoW Prioritisation".</t>
        </is>
      </c>
    </row>
  </sheetData>
  <mergeCells count="1">
    <mergeCell ref="B4:C4"/>
  </mergeCells>
  <conditionalFormatting sqref="E7:E26">
    <cfRule type="expression" priority="1" dxfId="2">
      <formula>$E7="Must"</formula>
    </cfRule>
  </conditionalFormatting>
  <conditionalFormatting sqref="A7:F26">
    <cfRule type="expression" priority="2" dxfId="3">
      <formula>$E7="Won't"</formula>
    </cfRule>
  </conditionalFormatting>
  <conditionalFormatting sqref="H9:L9">
    <cfRule type="expression" priority="3" dxfId="4" stopIfTrue="1">
      <formula>LEFT($L$9,1)="✗"</formula>
    </cfRule>
  </conditionalFormatting>
  <conditionalFormatting sqref="L9">
    <cfRule type="expression" priority="4" dxfId="5">
      <formula>LEFT($L$9,1)="✓"</formula>
    </cfRule>
  </conditionalFormatting>
  <conditionalFormatting sqref="H12:L12">
    <cfRule type="expression" priority="5" dxfId="4" stopIfTrue="1">
      <formula>LEFT($L$12,1)="✗"</formula>
    </cfRule>
  </conditionalFormatting>
  <conditionalFormatting sqref="L12">
    <cfRule type="expression" priority="6" dxfId="5">
      <formula>LEFT($L$12,1)="✓"</formula>
    </cfRule>
  </conditionalFormatting>
  <dataValidations count="1">
    <dataValidation sqref="E7:E26" showDropDown="0" showInputMessage="0" showErrorMessage="1" allowBlank="1" error="Must, Should, Could or Won't (this time)" type="list">
      <formula1>"Must,Should,Could,Won't"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2451D1"/>
    <outlinePr summaryBelow="1" summaryRight="1"/>
    <pageSetUpPr fitToPage="1"/>
  </sheetPr>
  <dimension ref="A1:L2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13" customWidth="1" min="4" max="4"/>
    <col width="12" customWidth="1" min="5" max="5"/>
    <col width="11" customWidth="1" min="6" max="6"/>
    <col width="9" customWidth="1" min="7" max="7"/>
    <col hidden="1" width="4" customWidth="1" min="8" max="8"/>
    <col width="3" customWidth="1" min="9" max="9"/>
    <col width="7" customWidth="1" min="10" max="10"/>
    <col width="22" customWidth="1" min="11" max="11"/>
    <col width="10" customWidth="1" min="12" max="12"/>
  </cols>
  <sheetData>
    <row r="1">
      <c r="A1" s="7" t="inlineStr">
        <is>
          <t>CD3 · Tallyrow backlog</t>
        </is>
      </c>
    </row>
    <row r="2">
      <c r="A2" s="5" t="inlineStr">
        <is>
          <t>Weekly cost of delay ÷ weeks of work. Then check the dates block: CD3 cannot see a deadline.</t>
        </is>
      </c>
    </row>
    <row r="4">
      <c r="B4" s="48" t="inlineStr">
        <is>
          <t>CD3 = cost of delay ÷ duration. Start with the highest.</t>
        </is>
      </c>
    </row>
    <row r="6" ht="32" customHeight="1">
      <c r="A6" s="8" t="inlineStr">
        <is>
          <t>#</t>
        </is>
      </c>
      <c r="B6" s="8" t="inlineStr">
        <is>
          <t>Item</t>
        </is>
      </c>
      <c r="C6" s="8" t="inlineStr">
        <is>
          <t>Urgency profile</t>
        </is>
      </c>
      <c r="D6" s="8" t="inlineStr">
        <is>
          <t>Cost of delay ($k / week)</t>
        </is>
      </c>
      <c r="E6" s="8" t="inlineStr">
        <is>
          <t>Duration (weeks)</t>
        </is>
      </c>
      <c r="F6" s="8" t="inlineStr">
        <is>
          <t>CD3</t>
        </is>
      </c>
      <c r="G6" s="8" t="inlineStr">
        <is>
          <t>Rank</t>
        </is>
      </c>
      <c r="J6" s="9" t="inlineStr">
        <is>
          <t>Rank</t>
        </is>
      </c>
      <c r="K6" s="9" t="inlineStr">
        <is>
          <t>Ranked view</t>
        </is>
      </c>
      <c r="L6" s="9" t="inlineStr">
        <is>
          <t>CD3</t>
        </is>
      </c>
    </row>
    <row r="7" ht="24" customHeight="1">
      <c r="A7" s="19" t="n">
        <v>1</v>
      </c>
      <c r="B7" s="20" t="inlineStr">
        <is>
          <t>Payment link</t>
        </is>
      </c>
      <c r="C7" s="49" t="inlineStr">
        <is>
          <t>Long, peak unaffected</t>
        </is>
      </c>
      <c r="D7" s="28" t="n">
        <v>15</v>
      </c>
      <c r="E7" s="28" t="n">
        <v>4</v>
      </c>
      <c r="F7" s="34">
        <f>IF(COUNT(D7:E7)&lt;2,"",ROUND(D7/E7,3))</f>
        <v/>
      </c>
      <c r="G7" s="19">
        <f>IF(COUNT(F7)=0,"",COUNTIF($F$7:$F$14,"&gt;"&amp;(F7+0.0005))+1)</f>
        <v/>
      </c>
      <c r="H7">
        <f>IF(G7="","",G7+COUNTIF($G$7:G7,G7)-1)</f>
        <v/>
      </c>
      <c r="J7" s="19">
        <f>IFERROR(INDEX($G$7:$G$14,MATCH(1,$H$7:$H$14,0)),"")</f>
        <v/>
      </c>
      <c r="K7" s="20">
        <f>IFERROR(INDEX($B$7:$B$14,MATCH(1,$H$7:$H$14,0)),"")</f>
        <v/>
      </c>
      <c r="L7" s="19">
        <f>IFERROR(INDEX($F$7:$F$14,MATCH(1,$H$7:$H$14,0)),"")</f>
        <v/>
      </c>
    </row>
    <row r="8" ht="24" customHeight="1">
      <c r="A8" s="19" t="n">
        <v>2</v>
      </c>
      <c r="B8" s="20" t="inlineStr">
        <is>
          <t>Smart reminders</t>
        </is>
      </c>
      <c r="C8" s="49" t="inlineStr">
        <is>
          <t>Long, peak affected</t>
        </is>
      </c>
      <c r="D8" s="28" t="n">
        <v>10</v>
      </c>
      <c r="E8" s="28" t="n">
        <v>8</v>
      </c>
      <c r="F8" s="34">
        <f>IF(COUNT(D8:E8)&lt;2,"",ROUND(D8/E8,3))</f>
        <v/>
      </c>
      <c r="G8" s="19">
        <f>IF(COUNT(F8)=0,"",COUNTIF($F$7:$F$14,"&gt;"&amp;(F8+0.0005))+1)</f>
        <v/>
      </c>
      <c r="H8">
        <f>IF(G8="","",G8+COUNTIF($G$7:G8,G8)-1)</f>
        <v/>
      </c>
      <c r="J8" s="19">
        <f>IFERROR(INDEX($G$7:$G$14,MATCH(2,$H$7:$H$14,0)),"")</f>
        <v/>
      </c>
      <c r="K8" s="20">
        <f>IFERROR(INDEX($B$7:$B$14,MATCH(2,$H$7:$H$14,0)),"")</f>
        <v/>
      </c>
      <c r="L8" s="19">
        <f>IFERROR(INDEX($F$7:$F$14,MATCH(2,$H$7:$H$14,0)),"")</f>
        <v/>
      </c>
    </row>
    <row r="9" ht="24" customHeight="1">
      <c r="A9" s="19" t="n">
        <v>3</v>
      </c>
      <c r="B9" s="20" t="inlineStr">
        <is>
          <t>Recurring invoices</t>
        </is>
      </c>
      <c r="C9" s="49" t="inlineStr">
        <is>
          <t>Long, peak unaffected</t>
        </is>
      </c>
      <c r="D9" s="28" t="n">
        <v>6</v>
      </c>
      <c r="E9" s="28" t="n">
        <v>4</v>
      </c>
      <c r="F9" s="34">
        <f>IF(COUNT(D9:E9)&lt;2,"",ROUND(D9/E9,3))</f>
        <v/>
      </c>
      <c r="G9" s="19">
        <f>IF(COUNT(F9)=0,"",COUNTIF($F$7:$F$14,"&gt;"&amp;(F9+0.0005))+1)</f>
        <v/>
      </c>
      <c r="H9">
        <f>IF(G9="","",G9+COUNTIF($G$7:G9,G9)-1)</f>
        <v/>
      </c>
      <c r="J9" s="19">
        <f>IFERROR(INDEX($G$7:$G$14,MATCH(3,$H$7:$H$14,0)),"")</f>
        <v/>
      </c>
      <c r="K9" s="20">
        <f>IFERROR(INDEX($B$7:$B$14,MATCH(3,$H$7:$H$14,0)),"")</f>
        <v/>
      </c>
      <c r="L9" s="19">
        <f>IFERROR(INDEX($F$7:$F$14,MATCH(3,$H$7:$H$14,0)),"")</f>
        <v/>
      </c>
    </row>
    <row r="10" ht="24" customHeight="1">
      <c r="A10" s="19" t="n">
        <v>4</v>
      </c>
      <c r="B10" s="20" t="inlineStr">
        <is>
          <t>E-invoicing</t>
        </is>
      </c>
      <c r="C10" s="49" t="inlineStr">
        <is>
          <t>External deadline</t>
        </is>
      </c>
      <c r="D10" s="28" t="n">
        <v>0</v>
      </c>
      <c r="E10" s="28" t="n">
        <v>8</v>
      </c>
      <c r="F10" s="34">
        <f>IF(COUNT(D10:E10)&lt;2,"",ROUND(D10/E10,3))</f>
        <v/>
      </c>
      <c r="G10" s="19">
        <f>IF(COUNT(F10)=0,"",COUNTIF($F$7:$F$14,"&gt;"&amp;(F10+0.0005))+1)</f>
        <v/>
      </c>
      <c r="H10">
        <f>IF(G10="","",G10+COUNTIF($G$7:G10,G10)-1)</f>
        <v/>
      </c>
      <c r="J10" s="19">
        <f>IFERROR(INDEX($G$7:$G$14,MATCH(4,$H$7:$H$14,0)),"")</f>
        <v/>
      </c>
      <c r="K10" s="20">
        <f>IFERROR(INDEX($B$7:$B$14,MATCH(4,$H$7:$H$14,0)),"")</f>
        <v/>
      </c>
      <c r="L10" s="19">
        <f>IFERROR(INDEX($F$7:$F$14,MATCH(4,$H$7:$H$14,0)),"")</f>
        <v/>
      </c>
    </row>
    <row r="11" ht="24" customHeight="1">
      <c r="A11" s="19" t="n">
        <v>5</v>
      </c>
      <c r="B11" s="20" t="inlineStr">
        <is>
          <t>Multi-currency</t>
        </is>
      </c>
      <c r="C11" s="49" t="inlineStr">
        <is>
          <t>Treated as steady</t>
        </is>
      </c>
      <c r="D11" s="28" t="n">
        <v>1.2</v>
      </c>
      <c r="E11" s="28" t="n">
        <v>4</v>
      </c>
      <c r="F11" s="34">
        <f>IF(COUNT(D11:E11)&lt;2,"",ROUND(D11/E11,3))</f>
        <v/>
      </c>
      <c r="G11" s="19">
        <f>IF(COUNT(F11)=0,"",COUNTIF($F$7:$F$14,"&gt;"&amp;(F11+0.0005))+1)</f>
        <v/>
      </c>
      <c r="H11">
        <f>IF(G11="","",G11+COUNTIF($G$7:G11,G11)-1)</f>
        <v/>
      </c>
      <c r="J11" s="19">
        <f>IFERROR(INDEX($G$7:$G$14,MATCH(5,$H$7:$H$14,0)),"")</f>
        <v/>
      </c>
      <c r="K11" s="20">
        <f>IFERROR(INDEX($B$7:$B$14,MATCH(5,$H$7:$H$14,0)),"")</f>
        <v/>
      </c>
      <c r="L11" s="19">
        <f>IFERROR(INDEX($F$7:$F$14,MATCH(5,$H$7:$H$14,0)),"")</f>
        <v/>
      </c>
    </row>
    <row r="12" ht="24" customHeight="1">
      <c r="A12" s="19" t="n">
        <v>6</v>
      </c>
      <c r="B12" s="20" t="inlineStr">
        <is>
          <t>Client portal</t>
        </is>
      </c>
      <c r="C12" s="49" t="inlineStr">
        <is>
          <t>Long, peak unaffected</t>
        </is>
      </c>
      <c r="D12" s="28" t="n">
        <v>3</v>
      </c>
      <c r="E12" s="28" t="n">
        <v>12</v>
      </c>
      <c r="F12" s="34">
        <f>IF(COUNT(D12:E12)&lt;2,"",ROUND(D12/E12,3))</f>
        <v/>
      </c>
      <c r="G12" s="19">
        <f>IF(COUNT(F12)=0,"",COUNTIF($F$7:$F$14,"&gt;"&amp;(F12+0.0005))+1)</f>
        <v/>
      </c>
      <c r="H12">
        <f>IF(G12="","",G12+COUNTIF($G$7:G12,G12)-1)</f>
        <v/>
      </c>
      <c r="J12" s="19">
        <f>IFERROR(INDEX($G$7:$G$14,MATCH(6,$H$7:$H$14,0)),"")</f>
        <v/>
      </c>
      <c r="K12" s="20">
        <f>IFERROR(INDEX($B$7:$B$14,MATCH(6,$H$7:$H$14,0)),"")</f>
        <v/>
      </c>
      <c r="L12" s="19">
        <f>IFERROR(INDEX($F$7:$F$14,MATCH(6,$H$7:$H$14,0)),"")</f>
        <v/>
      </c>
    </row>
    <row r="13" ht="24" customHeight="1">
      <c r="A13" s="19" t="n">
        <v>7</v>
      </c>
      <c r="B13" s="20" t="inlineStr">
        <is>
          <t>Late-fee automation</t>
        </is>
      </c>
      <c r="C13" s="49" t="inlineStr">
        <is>
          <t>Long, peak unaffected</t>
        </is>
      </c>
      <c r="D13" s="28" t="n">
        <v>4</v>
      </c>
      <c r="E13" s="28" t="n">
        <v>4</v>
      </c>
      <c r="F13" s="34">
        <f>IF(COUNT(D13:E13)&lt;2,"",ROUND(D13/E13,3))</f>
        <v/>
      </c>
      <c r="G13" s="19">
        <f>IF(COUNT(F13)=0,"",COUNTIF($F$7:$F$14,"&gt;"&amp;(F13+0.0005))+1)</f>
        <v/>
      </c>
      <c r="H13">
        <f>IF(G13="","",G13+COUNTIF($G$7:G13,G13)-1)</f>
        <v/>
      </c>
      <c r="J13" s="19">
        <f>IFERROR(INDEX($G$7:$G$14,MATCH(7,$H$7:$H$14,0)),"")</f>
        <v/>
      </c>
      <c r="K13" s="20">
        <f>IFERROR(INDEX($B$7:$B$14,MATCH(7,$H$7:$H$14,0)),"")</f>
        <v/>
      </c>
      <c r="L13" s="19">
        <f>IFERROR(INDEX($F$7:$F$14,MATCH(7,$H$7:$H$14,0)),"")</f>
        <v/>
      </c>
    </row>
    <row r="14" ht="24" customHeight="1">
      <c r="A14" s="19" t="n">
        <v>8</v>
      </c>
      <c r="B14" s="20" t="inlineStr">
        <is>
          <t>Receipt capture</t>
        </is>
      </c>
      <c r="C14" s="49" t="inlineStr">
        <is>
          <t>Long, peak unaffected</t>
        </is>
      </c>
      <c r="D14" s="28" t="n">
        <v>1</v>
      </c>
      <c r="E14" s="28" t="n">
        <v>8</v>
      </c>
      <c r="F14" s="34">
        <f>IF(COUNT(D14:E14)&lt;2,"",ROUND(D14/E14,3))</f>
        <v/>
      </c>
      <c r="G14" s="19">
        <f>IF(COUNT(F14)=0,"",COUNTIF($F$7:$F$14,"&gt;"&amp;(F14+0.0005))+1)</f>
        <v/>
      </c>
      <c r="H14">
        <f>IF(G14="","",G14+COUNTIF($G$7:G14,G14)-1)</f>
        <v/>
      </c>
      <c r="J14" s="19">
        <f>IFERROR(INDEX($G$7:$G$14,MATCH(8,$H$7:$H$14,0)),"")</f>
        <v/>
      </c>
      <c r="K14" s="20">
        <f>IFERROR(INDEX($B$7:$B$14,MATCH(8,$H$7:$H$14,0)),"")</f>
        <v/>
      </c>
      <c r="L14" s="19">
        <f>IFERROR(INDEX($F$7:$F$14,MATCH(8,$H$7:$H$14,0)),"")</f>
        <v/>
      </c>
    </row>
    <row r="16">
      <c r="B16" s="31" t="inlineStr">
        <is>
          <t>Dates first: schedule date-bound work backwards from its date, BEFORE you sort by CD3</t>
        </is>
      </c>
    </row>
    <row r="17" ht="32" customHeight="1">
      <c r="B17" s="8" t="inlineStr">
        <is>
          <t>Date-bound item</t>
        </is>
      </c>
      <c r="C17" s="8" t="inlineStr">
        <is>
          <t>Date (week of quarter)</t>
        </is>
      </c>
      <c r="D17" s="8" t="inlineStr">
        <is>
          <t>Delivery (weeks)</t>
        </is>
      </c>
      <c r="E17" s="8" t="inlineStr">
        <is>
          <t>Latest start (week)</t>
        </is>
      </c>
      <c r="F17" s="8" t="inlineStr">
        <is>
          <t>Buffer (weeks)</t>
        </is>
      </c>
      <c r="G17" s="8" t="inlineStr">
        <is>
          <t>Start by</t>
        </is>
      </c>
    </row>
    <row r="18">
      <c r="B18" s="50" t="inlineStr">
        <is>
          <t>E-invoicing</t>
        </is>
      </c>
      <c r="C18" s="28" t="n">
        <v>12</v>
      </c>
      <c r="D18" s="28" t="n">
        <v>8</v>
      </c>
      <c r="E18" s="19">
        <f>IF(COUNT(C18:D18)&lt;2,"",C18-D18)</f>
        <v/>
      </c>
      <c r="F18" s="28" t="n">
        <v>1</v>
      </c>
      <c r="G18" s="51">
        <f>IF(E18="","","week "&amp;(E18-N(F18)))</f>
        <v/>
      </c>
    </row>
    <row r="20">
      <c r="B20" s="22" t="inlineStr">
        <is>
          <t>Then let CD3 order everything else around it. Today's cost of delay for a deadline item is zero, so CD3 alone puts it last.</t>
        </is>
      </c>
    </row>
    <row r="22">
      <c r="B22" s="31" t="inlineStr">
        <is>
          <t>Ranges: CD3 is only as good as the cost of delay you feed it</t>
        </is>
      </c>
    </row>
    <row r="23" ht="32" customHeight="1">
      <c r="B23" s="8" t="inlineStr">
        <is>
          <t>Item</t>
        </is>
      </c>
      <c r="C23" s="8" t="inlineStr">
        <is>
          <t>CoD low ($k / week)</t>
        </is>
      </c>
      <c r="D23" s="8" t="inlineStr">
        <is>
          <t>CoD high ($k / week)</t>
        </is>
      </c>
      <c r="E23" s="8" t="inlineStr">
        <is>
          <t>Duration (weeks)</t>
        </is>
      </c>
      <c r="F23" s="8" t="inlineStr">
        <is>
          <t>CD3 low</t>
        </is>
      </c>
      <c r="G23" s="8" t="inlineStr">
        <is>
          <t>CD3 high</t>
        </is>
      </c>
    </row>
    <row r="24">
      <c r="B24" s="50" t="inlineStr">
        <is>
          <t>Smart reminders</t>
        </is>
      </c>
      <c r="C24" s="28" t="n">
        <v>0</v>
      </c>
      <c r="D24" s="28" t="n">
        <v>20</v>
      </c>
      <c r="E24" s="28" t="n">
        <v>8</v>
      </c>
      <c r="F24" s="19">
        <f>IF(COUNT(C24,E24)&lt;2,"",ROUND(C24/E24,3))</f>
        <v/>
      </c>
      <c r="G24" s="19">
        <f>IF(COUNT(D24,E24)&lt;2,"",ROUND(D24/E24,3))</f>
        <v/>
      </c>
    </row>
    <row r="26">
      <c r="B26" s="22" t="inlineStr">
        <is>
          <t>CD3: Cost of Delay Divided by Duration (Black Swan Farming). Short, urgent items go first.</t>
        </is>
      </c>
    </row>
    <row r="27">
      <c r="B27" s="22" t="inlineStr">
        <is>
          <t>Cost of delay in the same unit for every row ($ thousands per week here); duration in weeks.</t>
        </is>
      </c>
    </row>
    <row r="28">
      <c r="B28" s="22" t="inlineStr">
        <is>
          <t>Profiles and weekly figures are the cost-of-delay estimates from the urgency-profiles lesson.</t>
        </is>
      </c>
    </row>
    <row r="29">
      <c r="B29" s="22" t="inlineStr">
        <is>
          <t>Every Tallyrow number is invented for teaching.</t>
        </is>
      </c>
    </row>
  </sheetData>
  <conditionalFormatting sqref="J7:L14">
    <cfRule type="expression" priority="1" dxfId="4" stopIfTrue="1">
      <formula>AND($K7&lt;&gt;"",IFERROR(INDEX($C$7:$C$14,MATCH($K7,$B$7:$B$14,0)),"")="External deadline")</formula>
    </cfRule>
  </conditionalFormatting>
  <conditionalFormatting sqref="J7:L7">
    <cfRule type="expression" priority="2" dxfId="1">
      <formula>$K$7&lt;&gt;""</formula>
    </cfRule>
  </conditionalFormatting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2451D1"/>
    <outlinePr summaryBelow="1" summaryRight="1"/>
    <pageSetUpPr fitToPage="1"/>
  </sheetPr>
  <dimension ref="A1:L33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13" customWidth="1" min="4" max="4"/>
    <col width="12" customWidth="1" min="5" max="5"/>
    <col width="11" customWidth="1" min="6" max="6"/>
    <col width="9" customWidth="1" min="7" max="7"/>
    <col hidden="1" width="4" customWidth="1" min="8" max="8"/>
    <col width="3" customWidth="1" min="9" max="9"/>
    <col width="7" customWidth="1" min="10" max="10"/>
    <col width="22" customWidth="1" min="11" max="11"/>
    <col width="10" customWidth="1" min="12" max="12"/>
  </cols>
  <sheetData>
    <row r="1">
      <c r="A1" s="7" t="inlineStr">
        <is>
          <t>CD3 · your top five</t>
        </is>
      </c>
    </row>
    <row r="2">
      <c r="A2" s="5" t="inlineStr">
        <is>
          <t>Step 1: a weekly cost of delay and a duration per item. Step 2: any item with a date goes in the dates block first.</t>
        </is>
      </c>
    </row>
    <row r="4">
      <c r="B4" s="48" t="inlineStr">
        <is>
          <t>CD3 = cost of delay ÷ duration. Start with the highest.</t>
        </is>
      </c>
    </row>
    <row r="6" ht="32" customHeight="1">
      <c r="A6" s="8" t="inlineStr">
        <is>
          <t>#</t>
        </is>
      </c>
      <c r="B6" s="8" t="inlineStr">
        <is>
          <t>Item</t>
        </is>
      </c>
      <c r="C6" s="8" t="inlineStr">
        <is>
          <t>Urgency profile</t>
        </is>
      </c>
      <c r="D6" s="8" t="inlineStr">
        <is>
          <t>Cost of delay ($k / week)</t>
        </is>
      </c>
      <c r="E6" s="8" t="inlineStr">
        <is>
          <t>Duration (weeks)</t>
        </is>
      </c>
      <c r="F6" s="8" t="inlineStr">
        <is>
          <t>CD3</t>
        </is>
      </c>
      <c r="G6" s="8" t="inlineStr">
        <is>
          <t>Rank</t>
        </is>
      </c>
      <c r="J6" s="9" t="inlineStr">
        <is>
          <t>Rank</t>
        </is>
      </c>
      <c r="K6" s="9" t="inlineStr">
        <is>
          <t>Ranked view</t>
        </is>
      </c>
      <c r="L6" s="9" t="inlineStr">
        <is>
          <t>CD3</t>
        </is>
      </c>
    </row>
    <row r="7" ht="24" customHeight="1">
      <c r="A7" s="19" t="n">
        <v>1</v>
      </c>
      <c r="B7" s="20" t="n"/>
      <c r="C7" s="49" t="n"/>
      <c r="D7" s="28" t="n"/>
      <c r="E7" s="28" t="n"/>
      <c r="F7" s="34">
        <f>IF(COUNT(D7:E7)&lt;2,"",ROUND(D7/E7,3))</f>
        <v/>
      </c>
      <c r="G7" s="19">
        <f>IF(COUNT(F7)=0,"",COUNTIF($F$7:$F$16,"&gt;"&amp;(F7+0.0005))+1)</f>
        <v/>
      </c>
      <c r="H7">
        <f>IF(G7="","",G7+COUNTIF($G$7:G7,G7)-1)</f>
        <v/>
      </c>
      <c r="J7" s="19">
        <f>IFERROR(INDEX($G$7:$G$16,MATCH(1,$H$7:$H$16,0)),"")</f>
        <v/>
      </c>
      <c r="K7" s="20">
        <f>IFERROR(INDEX($B$7:$B$16,MATCH(1,$H$7:$H$16,0)),"")</f>
        <v/>
      </c>
      <c r="L7" s="19">
        <f>IFERROR(INDEX($F$7:$F$16,MATCH(1,$H$7:$H$16,0)),"")</f>
        <v/>
      </c>
    </row>
    <row r="8" ht="24" customHeight="1">
      <c r="A8" s="19" t="n">
        <v>2</v>
      </c>
      <c r="B8" s="20" t="n"/>
      <c r="C8" s="49" t="n"/>
      <c r="D8" s="28" t="n"/>
      <c r="E8" s="28" t="n"/>
      <c r="F8" s="34">
        <f>IF(COUNT(D8:E8)&lt;2,"",ROUND(D8/E8,3))</f>
        <v/>
      </c>
      <c r="G8" s="19">
        <f>IF(COUNT(F8)=0,"",COUNTIF($F$7:$F$16,"&gt;"&amp;(F8+0.0005))+1)</f>
        <v/>
      </c>
      <c r="H8">
        <f>IF(G8="","",G8+COUNTIF($G$7:G8,G8)-1)</f>
        <v/>
      </c>
      <c r="J8" s="19">
        <f>IFERROR(INDEX($G$7:$G$16,MATCH(2,$H$7:$H$16,0)),"")</f>
        <v/>
      </c>
      <c r="K8" s="20">
        <f>IFERROR(INDEX($B$7:$B$16,MATCH(2,$H$7:$H$16,0)),"")</f>
        <v/>
      </c>
      <c r="L8" s="19">
        <f>IFERROR(INDEX($F$7:$F$16,MATCH(2,$H$7:$H$16,0)),"")</f>
        <v/>
      </c>
    </row>
    <row r="9" ht="24" customHeight="1">
      <c r="A9" s="19" t="n">
        <v>3</v>
      </c>
      <c r="B9" s="20" t="n"/>
      <c r="C9" s="49" t="n"/>
      <c r="D9" s="28" t="n"/>
      <c r="E9" s="28" t="n"/>
      <c r="F9" s="34">
        <f>IF(COUNT(D9:E9)&lt;2,"",ROUND(D9/E9,3))</f>
        <v/>
      </c>
      <c r="G9" s="19">
        <f>IF(COUNT(F9)=0,"",COUNTIF($F$7:$F$16,"&gt;"&amp;(F9+0.0005))+1)</f>
        <v/>
      </c>
      <c r="H9">
        <f>IF(G9="","",G9+COUNTIF($G$7:G9,G9)-1)</f>
        <v/>
      </c>
      <c r="J9" s="19">
        <f>IFERROR(INDEX($G$7:$G$16,MATCH(3,$H$7:$H$16,0)),"")</f>
        <v/>
      </c>
      <c r="K9" s="20">
        <f>IFERROR(INDEX($B$7:$B$16,MATCH(3,$H$7:$H$16,0)),"")</f>
        <v/>
      </c>
      <c r="L9" s="19">
        <f>IFERROR(INDEX($F$7:$F$16,MATCH(3,$H$7:$H$16,0)),"")</f>
        <v/>
      </c>
    </row>
    <row r="10" ht="24" customHeight="1">
      <c r="A10" s="19" t="n">
        <v>4</v>
      </c>
      <c r="B10" s="20" t="n"/>
      <c r="C10" s="49" t="n"/>
      <c r="D10" s="28" t="n"/>
      <c r="E10" s="28" t="n"/>
      <c r="F10" s="34">
        <f>IF(COUNT(D10:E10)&lt;2,"",ROUND(D10/E10,3))</f>
        <v/>
      </c>
      <c r="G10" s="19">
        <f>IF(COUNT(F10)=0,"",COUNTIF($F$7:$F$16,"&gt;"&amp;(F10+0.0005))+1)</f>
        <v/>
      </c>
      <c r="H10">
        <f>IF(G10="","",G10+COUNTIF($G$7:G10,G10)-1)</f>
        <v/>
      </c>
      <c r="J10" s="19">
        <f>IFERROR(INDEX($G$7:$G$16,MATCH(4,$H$7:$H$16,0)),"")</f>
        <v/>
      </c>
      <c r="K10" s="20">
        <f>IFERROR(INDEX($B$7:$B$16,MATCH(4,$H$7:$H$16,0)),"")</f>
        <v/>
      </c>
      <c r="L10" s="19">
        <f>IFERROR(INDEX($F$7:$F$16,MATCH(4,$H$7:$H$16,0)),"")</f>
        <v/>
      </c>
    </row>
    <row r="11" ht="24" customHeight="1">
      <c r="A11" s="19" t="n">
        <v>5</v>
      </c>
      <c r="B11" s="20" t="n"/>
      <c r="C11" s="49" t="n"/>
      <c r="D11" s="28" t="n"/>
      <c r="E11" s="28" t="n"/>
      <c r="F11" s="34">
        <f>IF(COUNT(D11:E11)&lt;2,"",ROUND(D11/E11,3))</f>
        <v/>
      </c>
      <c r="G11" s="19">
        <f>IF(COUNT(F11)=0,"",COUNTIF($F$7:$F$16,"&gt;"&amp;(F11+0.0005))+1)</f>
        <v/>
      </c>
      <c r="H11">
        <f>IF(G11="","",G11+COUNTIF($G$7:G11,G11)-1)</f>
        <v/>
      </c>
      <c r="J11" s="19">
        <f>IFERROR(INDEX($G$7:$G$16,MATCH(5,$H$7:$H$16,0)),"")</f>
        <v/>
      </c>
      <c r="K11" s="20">
        <f>IFERROR(INDEX($B$7:$B$16,MATCH(5,$H$7:$H$16,0)),"")</f>
        <v/>
      </c>
      <c r="L11" s="19">
        <f>IFERROR(INDEX($F$7:$F$16,MATCH(5,$H$7:$H$16,0)),"")</f>
        <v/>
      </c>
    </row>
    <row r="12" ht="24" customHeight="1">
      <c r="A12" s="19" t="n">
        <v>6</v>
      </c>
      <c r="B12" s="20" t="n"/>
      <c r="C12" s="49" t="n"/>
      <c r="D12" s="28" t="n"/>
      <c r="E12" s="28" t="n"/>
      <c r="F12" s="34">
        <f>IF(COUNT(D12:E12)&lt;2,"",ROUND(D12/E12,3))</f>
        <v/>
      </c>
      <c r="G12" s="19">
        <f>IF(COUNT(F12)=0,"",COUNTIF($F$7:$F$16,"&gt;"&amp;(F12+0.0005))+1)</f>
        <v/>
      </c>
      <c r="H12">
        <f>IF(G12="","",G12+COUNTIF($G$7:G12,G12)-1)</f>
        <v/>
      </c>
      <c r="J12" s="19">
        <f>IFERROR(INDEX($G$7:$G$16,MATCH(6,$H$7:$H$16,0)),"")</f>
        <v/>
      </c>
      <c r="K12" s="20">
        <f>IFERROR(INDEX($B$7:$B$16,MATCH(6,$H$7:$H$16,0)),"")</f>
        <v/>
      </c>
      <c r="L12" s="19">
        <f>IFERROR(INDEX($F$7:$F$16,MATCH(6,$H$7:$H$16,0)),"")</f>
        <v/>
      </c>
    </row>
    <row r="13" ht="24" customHeight="1">
      <c r="A13" s="19" t="n">
        <v>7</v>
      </c>
      <c r="B13" s="20" t="n"/>
      <c r="C13" s="49" t="n"/>
      <c r="D13" s="28" t="n"/>
      <c r="E13" s="28" t="n"/>
      <c r="F13" s="34">
        <f>IF(COUNT(D13:E13)&lt;2,"",ROUND(D13/E13,3))</f>
        <v/>
      </c>
      <c r="G13" s="19">
        <f>IF(COUNT(F13)=0,"",COUNTIF($F$7:$F$16,"&gt;"&amp;(F13+0.0005))+1)</f>
        <v/>
      </c>
      <c r="H13">
        <f>IF(G13="","",G13+COUNTIF($G$7:G13,G13)-1)</f>
        <v/>
      </c>
      <c r="J13" s="19">
        <f>IFERROR(INDEX($G$7:$G$16,MATCH(7,$H$7:$H$16,0)),"")</f>
        <v/>
      </c>
      <c r="K13" s="20">
        <f>IFERROR(INDEX($B$7:$B$16,MATCH(7,$H$7:$H$16,0)),"")</f>
        <v/>
      </c>
      <c r="L13" s="19">
        <f>IFERROR(INDEX($F$7:$F$16,MATCH(7,$H$7:$H$16,0)),"")</f>
        <v/>
      </c>
    </row>
    <row r="14" ht="24" customHeight="1">
      <c r="A14" s="19" t="n">
        <v>8</v>
      </c>
      <c r="B14" s="20" t="n"/>
      <c r="C14" s="49" t="n"/>
      <c r="D14" s="28" t="n"/>
      <c r="E14" s="28" t="n"/>
      <c r="F14" s="34">
        <f>IF(COUNT(D14:E14)&lt;2,"",ROUND(D14/E14,3))</f>
        <v/>
      </c>
      <c r="G14" s="19">
        <f>IF(COUNT(F14)=0,"",COUNTIF($F$7:$F$16,"&gt;"&amp;(F14+0.0005))+1)</f>
        <v/>
      </c>
      <c r="H14">
        <f>IF(G14="","",G14+COUNTIF($G$7:G14,G14)-1)</f>
        <v/>
      </c>
      <c r="J14" s="19">
        <f>IFERROR(INDEX($G$7:$G$16,MATCH(8,$H$7:$H$16,0)),"")</f>
        <v/>
      </c>
      <c r="K14" s="20">
        <f>IFERROR(INDEX($B$7:$B$16,MATCH(8,$H$7:$H$16,0)),"")</f>
        <v/>
      </c>
      <c r="L14" s="19">
        <f>IFERROR(INDEX($F$7:$F$16,MATCH(8,$H$7:$H$16,0)),"")</f>
        <v/>
      </c>
    </row>
    <row r="15" ht="24" customHeight="1">
      <c r="A15" s="19" t="n">
        <v>9</v>
      </c>
      <c r="B15" s="20" t="n"/>
      <c r="C15" s="49" t="n"/>
      <c r="D15" s="28" t="n"/>
      <c r="E15" s="28" t="n"/>
      <c r="F15" s="34">
        <f>IF(COUNT(D15:E15)&lt;2,"",ROUND(D15/E15,3))</f>
        <v/>
      </c>
      <c r="G15" s="19">
        <f>IF(COUNT(F15)=0,"",COUNTIF($F$7:$F$16,"&gt;"&amp;(F15+0.0005))+1)</f>
        <v/>
      </c>
      <c r="H15">
        <f>IF(G15="","",G15+COUNTIF($G$7:G15,G15)-1)</f>
        <v/>
      </c>
      <c r="J15" s="19">
        <f>IFERROR(INDEX($G$7:$G$16,MATCH(9,$H$7:$H$16,0)),"")</f>
        <v/>
      </c>
      <c r="K15" s="20">
        <f>IFERROR(INDEX($B$7:$B$16,MATCH(9,$H$7:$H$16,0)),"")</f>
        <v/>
      </c>
      <c r="L15" s="19">
        <f>IFERROR(INDEX($F$7:$F$16,MATCH(9,$H$7:$H$16,0)),"")</f>
        <v/>
      </c>
    </row>
    <row r="16" ht="24" customHeight="1">
      <c r="A16" s="19" t="n">
        <v>10</v>
      </c>
      <c r="B16" s="20" t="n"/>
      <c r="C16" s="49" t="n"/>
      <c r="D16" s="28" t="n"/>
      <c r="E16" s="28" t="n"/>
      <c r="F16" s="34">
        <f>IF(COUNT(D16:E16)&lt;2,"",ROUND(D16/E16,3))</f>
        <v/>
      </c>
      <c r="G16" s="19">
        <f>IF(COUNT(F16)=0,"",COUNTIF($F$7:$F$16,"&gt;"&amp;(F16+0.0005))+1)</f>
        <v/>
      </c>
      <c r="H16">
        <f>IF(G16="","",G16+COUNTIF($G$7:G16,G16)-1)</f>
        <v/>
      </c>
      <c r="J16" s="19">
        <f>IFERROR(INDEX($G$7:$G$16,MATCH(10,$H$7:$H$16,0)),"")</f>
        <v/>
      </c>
      <c r="K16" s="20">
        <f>IFERROR(INDEX($B$7:$B$16,MATCH(10,$H$7:$H$16,0)),"")</f>
        <v/>
      </c>
      <c r="L16" s="19">
        <f>IFERROR(INDEX($F$7:$F$16,MATCH(10,$H$7:$H$16,0)),"")</f>
        <v/>
      </c>
    </row>
    <row r="18">
      <c r="B18" s="31" t="inlineStr">
        <is>
          <t>Dates first: schedule date-bound work backwards from its date, BEFORE you sort by CD3</t>
        </is>
      </c>
    </row>
    <row r="19" ht="32" customHeight="1">
      <c r="B19" s="8" t="inlineStr">
        <is>
          <t>Date-bound item</t>
        </is>
      </c>
      <c r="C19" s="8" t="inlineStr">
        <is>
          <t>Date (week of quarter)</t>
        </is>
      </c>
      <c r="D19" s="8" t="inlineStr">
        <is>
          <t>Delivery (weeks)</t>
        </is>
      </c>
      <c r="E19" s="8" t="inlineStr">
        <is>
          <t>Latest start (week)</t>
        </is>
      </c>
      <c r="F19" s="8" t="inlineStr">
        <is>
          <t>Buffer (weeks)</t>
        </is>
      </c>
      <c r="G19" s="8" t="inlineStr">
        <is>
          <t>Start by</t>
        </is>
      </c>
    </row>
    <row r="20">
      <c r="B20" s="50" t="n"/>
      <c r="C20" s="28" t="n"/>
      <c r="D20" s="28" t="n"/>
      <c r="E20" s="19">
        <f>IF(COUNT(C20:D20)&lt;2,"",C20-D20)</f>
        <v/>
      </c>
      <c r="F20" s="28" t="n"/>
      <c r="G20" s="51">
        <f>IF(E20="","","week "&amp;(E20-N(F20)))</f>
        <v/>
      </c>
    </row>
    <row r="21">
      <c r="B21" s="50" t="n"/>
      <c r="C21" s="28" t="n"/>
      <c r="D21" s="28" t="n"/>
      <c r="E21" s="19">
        <f>IF(COUNT(C21:D21)&lt;2,"",C21-D21)</f>
        <v/>
      </c>
      <c r="F21" s="28" t="n"/>
      <c r="G21" s="51">
        <f>IF(E21="","","week "&amp;(E21-N(F21)))</f>
        <v/>
      </c>
    </row>
    <row r="22">
      <c r="B22" s="50" t="n"/>
      <c r="C22" s="28" t="n"/>
      <c r="D22" s="28" t="n"/>
      <c r="E22" s="19">
        <f>IF(COUNT(C22:D22)&lt;2,"",C22-D22)</f>
        <v/>
      </c>
      <c r="F22" s="28" t="n"/>
      <c r="G22" s="51">
        <f>IF(E22="","","week "&amp;(E22-N(F22)))</f>
        <v/>
      </c>
    </row>
    <row r="24">
      <c r="B24" s="22" t="inlineStr">
        <is>
          <t>Then let CD3 order everything else around it. Today's cost of delay for a deadline item is zero, so CD3 alone puts it last.</t>
        </is>
      </c>
    </row>
    <row r="26">
      <c r="B26" s="31" t="inlineStr">
        <is>
          <t>Ranges: CD3 is only as good as the cost of delay you feed it</t>
        </is>
      </c>
    </row>
    <row r="27" ht="32" customHeight="1">
      <c r="B27" s="8" t="inlineStr">
        <is>
          <t>Item</t>
        </is>
      </c>
      <c r="C27" s="8" t="inlineStr">
        <is>
          <t>CoD low ($k / week)</t>
        </is>
      </c>
      <c r="D27" s="8" t="inlineStr">
        <is>
          <t>CoD high ($k / week)</t>
        </is>
      </c>
      <c r="E27" s="8" t="inlineStr">
        <is>
          <t>Duration (weeks)</t>
        </is>
      </c>
      <c r="F27" s="8" t="inlineStr">
        <is>
          <t>CD3 low</t>
        </is>
      </c>
      <c r="G27" s="8" t="inlineStr">
        <is>
          <t>CD3 high</t>
        </is>
      </c>
    </row>
    <row r="28">
      <c r="B28" s="50" t="n"/>
      <c r="C28" s="28" t="n"/>
      <c r="D28" s="28" t="n"/>
      <c r="E28" s="28" t="n"/>
      <c r="F28" s="19">
        <f>IF(COUNT(C28,E28)&lt;2,"",ROUND(C28/E28,3))</f>
        <v/>
      </c>
      <c r="G28" s="19">
        <f>IF(COUNT(D28,E28)&lt;2,"",ROUND(D28/E28,3))</f>
        <v/>
      </c>
    </row>
    <row r="29">
      <c r="B29" s="50" t="n"/>
      <c r="C29" s="28" t="n"/>
      <c r="D29" s="28" t="n"/>
      <c r="E29" s="28" t="n"/>
      <c r="F29" s="19">
        <f>IF(COUNT(C29,E29)&lt;2,"",ROUND(C29/E29,3))</f>
        <v/>
      </c>
      <c r="G29" s="19">
        <f>IF(COUNT(D29,E29)&lt;2,"",ROUND(D29/E29,3))</f>
        <v/>
      </c>
    </row>
    <row r="30">
      <c r="B30" s="50" t="n"/>
      <c r="C30" s="28" t="n"/>
      <c r="D30" s="28" t="n"/>
      <c r="E30" s="28" t="n"/>
      <c r="F30" s="19">
        <f>IF(COUNT(C30,E30)&lt;2,"",ROUND(C30/E30,3))</f>
        <v/>
      </c>
      <c r="G30" s="19">
        <f>IF(COUNT(D30,E30)&lt;2,"",ROUND(D30/E30,3))</f>
        <v/>
      </c>
    </row>
    <row r="32">
      <c r="B32" s="22" t="inlineStr">
        <is>
          <t>CD3: Cost of Delay Divided by Duration (Black Swan Farming). Short, urgent items go first.</t>
        </is>
      </c>
    </row>
    <row r="33">
      <c r="B33" s="22" t="inlineStr">
        <is>
          <t>Cost of delay in the same unit for every row ($ thousands per week here); duration in weeks.</t>
        </is>
      </c>
    </row>
  </sheetData>
  <conditionalFormatting sqref="J7:L16">
    <cfRule type="expression" priority="1" dxfId="4" stopIfTrue="1">
      <formula>AND($K7&lt;&gt;"",IFERROR(INDEX($C$7:$C$16,MATCH($K7,$B$7:$B$16,0)),"")="External deadline")</formula>
    </cfRule>
  </conditionalFormatting>
  <conditionalFormatting sqref="J7:L7">
    <cfRule type="expression" priority="2" dxfId="1">
      <formula>$K$7&lt;&gt;""</formula>
    </cfRule>
  </conditionalFormatting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2451D1"/>
    <outlinePr summaryBelow="1" summaryRight="1"/>
    <pageSetUpPr fitToPage="1"/>
  </sheetPr>
  <dimension ref="A1:N2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12" customWidth="1" min="3" max="3"/>
    <col width="12" customWidth="1" min="4" max="4"/>
    <col width="14" customWidth="1" min="5" max="5"/>
    <col width="11" customWidth="1" min="6" max="6"/>
    <col width="10" customWidth="1" min="7" max="7"/>
    <col width="10" customWidth="1" min="8" max="8"/>
    <col width="7" customWidth="1" min="9" max="9"/>
    <col hidden="1" width="4" customWidth="1" min="10" max="10"/>
    <col width="3" customWidth="1" min="11" max="11"/>
    <col width="7" customWidth="1" min="12" max="12"/>
    <col width="22" customWidth="1" min="13" max="13"/>
    <col width="9" customWidth="1" min="14" max="14"/>
  </cols>
  <sheetData>
    <row r="1">
      <c r="A1" s="7" t="inlineStr">
        <is>
          <t>WSJF · Tallyrow backlog</t>
        </is>
      </c>
    </row>
    <row r="2">
      <c r="A2" s="5" t="inlineStr">
        <is>
          <t>SAFe's Weighted Shortest Job First on the same eight items. Watch the time criticality column.</t>
        </is>
      </c>
    </row>
    <row r="4">
      <c r="B4" s="48" t="inlineStr">
        <is>
          <t>WSJF = (value + time criticality + risk / opportunity) ÷ job size</t>
        </is>
      </c>
    </row>
    <row r="6" ht="44" customHeight="1">
      <c r="A6" s="8" t="inlineStr">
        <is>
          <t>#</t>
        </is>
      </c>
      <c r="B6" s="8" t="inlineStr">
        <is>
          <t>Item</t>
        </is>
      </c>
      <c r="C6" s="8" t="inlineStr">
        <is>
          <t>User-business value</t>
        </is>
      </c>
      <c r="D6" s="52" t="inlineStr">
        <is>
          <t>Time criticality</t>
        </is>
      </c>
      <c r="E6" s="8" t="inlineStr">
        <is>
          <t>Risk reduction / opportunity enablement</t>
        </is>
      </c>
      <c r="F6" s="8" t="inlineStr">
        <is>
          <t>Cost of delay (sum)</t>
        </is>
      </c>
      <c r="G6" s="8" t="inlineStr">
        <is>
          <t>Job size</t>
        </is>
      </c>
      <c r="H6" s="8" t="inlineStr">
        <is>
          <t>WSJF</t>
        </is>
      </c>
      <c r="I6" s="8" t="inlineStr">
        <is>
          <t>Rank</t>
        </is>
      </c>
      <c r="L6" s="9" t="inlineStr">
        <is>
          <t>Rank</t>
        </is>
      </c>
      <c r="M6" s="9" t="inlineStr">
        <is>
          <t>Ranked view</t>
        </is>
      </c>
      <c r="N6" s="9" t="inlineStr">
        <is>
          <t>WSJF</t>
        </is>
      </c>
    </row>
    <row r="7" ht="24" customHeight="1">
      <c r="A7" s="19" t="n">
        <v>1</v>
      </c>
      <c r="B7" s="20" t="inlineStr">
        <is>
          <t>Payment link</t>
        </is>
      </c>
      <c r="C7" s="28" t="n">
        <v>13</v>
      </c>
      <c r="D7" s="28" t="n">
        <v>8</v>
      </c>
      <c r="E7" s="28" t="n">
        <v>3</v>
      </c>
      <c r="F7" s="40">
        <f>IF(COUNT(C7:E7)&lt;3,"",SUM(C7:E7))</f>
        <v/>
      </c>
      <c r="G7" s="28" t="n">
        <v>1</v>
      </c>
      <c r="H7" s="34">
        <f>IF(OR(F7="",N(G7)=0),"",ROUND(F7/G7,2))</f>
        <v/>
      </c>
      <c r="I7" s="19">
        <f>IF(H7="","",COUNTIF($H$7:$H$14,"&gt;"&amp;(H7+0.005))+1)</f>
        <v/>
      </c>
      <c r="J7">
        <f>IF(I7="","",I7+COUNTIF($I$7:I7,I7)-1)</f>
        <v/>
      </c>
      <c r="L7" s="19">
        <f>IFERROR(INDEX($I$7:$I$14,MATCH(1,$J$7:$J$14,0)),"")</f>
        <v/>
      </c>
      <c r="M7" s="20">
        <f>IFERROR(INDEX($B$7:$B$14,MATCH(1,$J$7:$J$14,0)),"")</f>
        <v/>
      </c>
      <c r="N7" s="19">
        <f>IFERROR(INDEX($H$7:$H$14,MATCH(1,$J$7:$J$14,0)),"")</f>
        <v/>
      </c>
    </row>
    <row r="8" ht="24" customHeight="1">
      <c r="A8" s="19" t="n">
        <v>2</v>
      </c>
      <c r="B8" s="20" t="inlineStr">
        <is>
          <t>Smart reminders</t>
        </is>
      </c>
      <c r="C8" s="28" t="n">
        <v>8</v>
      </c>
      <c r="D8" s="28" t="n">
        <v>5</v>
      </c>
      <c r="E8" s="28" t="n">
        <v>8</v>
      </c>
      <c r="F8" s="40">
        <f>IF(COUNT(C8:E8)&lt;3,"",SUM(C8:E8))</f>
        <v/>
      </c>
      <c r="G8" s="28" t="n">
        <v>2</v>
      </c>
      <c r="H8" s="34">
        <f>IF(OR(F8="",N(G8)=0),"",ROUND(F8/G8,2))</f>
        <v/>
      </c>
      <c r="I8" s="19">
        <f>IF(H8="","",COUNTIF($H$7:$H$14,"&gt;"&amp;(H8+0.005))+1)</f>
        <v/>
      </c>
      <c r="J8">
        <f>IF(I8="","",I8+COUNTIF($I$7:I8,I8)-1)</f>
        <v/>
      </c>
      <c r="L8" s="19">
        <f>IFERROR(INDEX($I$7:$I$14,MATCH(2,$J$7:$J$14,0)),"")</f>
        <v/>
      </c>
      <c r="M8" s="20">
        <f>IFERROR(INDEX($B$7:$B$14,MATCH(2,$J$7:$J$14,0)),"")</f>
        <v/>
      </c>
      <c r="N8" s="19">
        <f>IFERROR(INDEX($H$7:$H$14,MATCH(2,$J$7:$J$14,0)),"")</f>
        <v/>
      </c>
    </row>
    <row r="9" ht="24" customHeight="1">
      <c r="A9" s="19" t="n">
        <v>3</v>
      </c>
      <c r="B9" s="20" t="inlineStr">
        <is>
          <t>Recurring invoices</t>
        </is>
      </c>
      <c r="C9" s="28" t="n">
        <v>8</v>
      </c>
      <c r="D9" s="28" t="n">
        <v>3</v>
      </c>
      <c r="E9" s="28" t="n">
        <v>2</v>
      </c>
      <c r="F9" s="40">
        <f>IF(COUNT(C9:E9)&lt;3,"",SUM(C9:E9))</f>
        <v/>
      </c>
      <c r="G9" s="28" t="n">
        <v>1</v>
      </c>
      <c r="H9" s="34">
        <f>IF(OR(F9="",N(G9)=0),"",ROUND(F9/G9,2))</f>
        <v/>
      </c>
      <c r="I9" s="19">
        <f>IF(H9="","",COUNTIF($H$7:$H$14,"&gt;"&amp;(H9+0.005))+1)</f>
        <v/>
      </c>
      <c r="J9">
        <f>IF(I9="","",I9+COUNTIF($I$7:I9,I9)-1)</f>
        <v/>
      </c>
      <c r="L9" s="19">
        <f>IFERROR(INDEX($I$7:$I$14,MATCH(3,$J$7:$J$14,0)),"")</f>
        <v/>
      </c>
      <c r="M9" s="20">
        <f>IFERROR(INDEX($B$7:$B$14,MATCH(3,$J$7:$J$14,0)),"")</f>
        <v/>
      </c>
      <c r="N9" s="19">
        <f>IFERROR(INDEX($H$7:$H$14,MATCH(3,$J$7:$J$14,0)),"")</f>
        <v/>
      </c>
    </row>
    <row r="10" ht="24" customHeight="1">
      <c r="A10" s="19" t="n">
        <v>4</v>
      </c>
      <c r="B10" s="20" t="inlineStr">
        <is>
          <t>E-invoicing</t>
        </is>
      </c>
      <c r="C10" s="28" t="n">
        <v>5</v>
      </c>
      <c r="D10" s="28" t="n">
        <v>20</v>
      </c>
      <c r="E10" s="28" t="n">
        <v>8</v>
      </c>
      <c r="F10" s="40">
        <f>IF(COUNT(C10:E10)&lt;3,"",SUM(C10:E10))</f>
        <v/>
      </c>
      <c r="G10" s="28" t="n">
        <v>2</v>
      </c>
      <c r="H10" s="34">
        <f>IF(OR(F10="",N(G10)=0),"",ROUND(F10/G10,2))</f>
        <v/>
      </c>
      <c r="I10" s="19">
        <f>IF(H10="","",COUNTIF($H$7:$H$14,"&gt;"&amp;(H10+0.005))+1)</f>
        <v/>
      </c>
      <c r="J10">
        <f>IF(I10="","",I10+COUNTIF($I$7:I10,I10)-1)</f>
        <v/>
      </c>
      <c r="L10" s="19">
        <f>IFERROR(INDEX($I$7:$I$14,MATCH(4,$J$7:$J$14,0)),"")</f>
        <v/>
      </c>
      <c r="M10" s="20">
        <f>IFERROR(INDEX($B$7:$B$14,MATCH(4,$J$7:$J$14,0)),"")</f>
        <v/>
      </c>
      <c r="N10" s="19">
        <f>IFERROR(INDEX($H$7:$H$14,MATCH(4,$J$7:$J$14,0)),"")</f>
        <v/>
      </c>
    </row>
    <row r="11" ht="24" customHeight="1">
      <c r="A11" s="19" t="n">
        <v>5</v>
      </c>
      <c r="B11" s="20" t="inlineStr">
        <is>
          <t>Multi-currency</t>
        </is>
      </c>
      <c r="C11" s="28" t="n">
        <v>3</v>
      </c>
      <c r="D11" s="28" t="n">
        <v>8</v>
      </c>
      <c r="E11" s="28" t="n">
        <v>1</v>
      </c>
      <c r="F11" s="40">
        <f>IF(COUNT(C11:E11)&lt;3,"",SUM(C11:E11))</f>
        <v/>
      </c>
      <c r="G11" s="28" t="n">
        <v>1</v>
      </c>
      <c r="H11" s="34">
        <f>IF(OR(F11="",N(G11)=0),"",ROUND(F11/G11,2))</f>
        <v/>
      </c>
      <c r="I11" s="19">
        <f>IF(H11="","",COUNTIF($H$7:$H$14,"&gt;"&amp;(H11+0.005))+1)</f>
        <v/>
      </c>
      <c r="J11">
        <f>IF(I11="","",I11+COUNTIF($I$7:I11,I11)-1)</f>
        <v/>
      </c>
      <c r="L11" s="19">
        <f>IFERROR(INDEX($I$7:$I$14,MATCH(5,$J$7:$J$14,0)),"")</f>
        <v/>
      </c>
      <c r="M11" s="20">
        <f>IFERROR(INDEX($B$7:$B$14,MATCH(5,$J$7:$J$14,0)),"")</f>
        <v/>
      </c>
      <c r="N11" s="19">
        <f>IFERROR(INDEX($H$7:$H$14,MATCH(5,$J$7:$J$14,0)),"")</f>
        <v/>
      </c>
    </row>
    <row r="12" ht="24" customHeight="1">
      <c r="A12" s="19" t="n">
        <v>6</v>
      </c>
      <c r="B12" s="20" t="inlineStr">
        <is>
          <t>Client portal</t>
        </is>
      </c>
      <c r="C12" s="28" t="n">
        <v>5</v>
      </c>
      <c r="D12" s="28" t="n">
        <v>1</v>
      </c>
      <c r="E12" s="28" t="n">
        <v>2</v>
      </c>
      <c r="F12" s="40">
        <f>IF(COUNT(C12:E12)&lt;3,"",SUM(C12:E12))</f>
        <v/>
      </c>
      <c r="G12" s="28" t="n">
        <v>3</v>
      </c>
      <c r="H12" s="34">
        <f>IF(OR(F12="",N(G12)=0),"",ROUND(F12/G12,2))</f>
        <v/>
      </c>
      <c r="I12" s="19">
        <f>IF(H12="","",COUNTIF($H$7:$H$14,"&gt;"&amp;(H12+0.005))+1)</f>
        <v/>
      </c>
      <c r="J12">
        <f>IF(I12="","",I12+COUNTIF($I$7:I12,I12)-1)</f>
        <v/>
      </c>
      <c r="L12" s="19">
        <f>IFERROR(INDEX($I$7:$I$14,MATCH(6,$J$7:$J$14,0)),"")</f>
        <v/>
      </c>
      <c r="M12" s="20">
        <f>IFERROR(INDEX($B$7:$B$14,MATCH(6,$J$7:$J$14,0)),"")</f>
        <v/>
      </c>
      <c r="N12" s="19">
        <f>IFERROR(INDEX($H$7:$H$14,MATCH(6,$J$7:$J$14,0)),"")</f>
        <v/>
      </c>
    </row>
    <row r="13" ht="24" customHeight="1">
      <c r="A13" s="19" t="n">
        <v>7</v>
      </c>
      <c r="B13" s="20" t="inlineStr">
        <is>
          <t>Late-fee automation</t>
        </is>
      </c>
      <c r="C13" s="28" t="n">
        <v>5</v>
      </c>
      <c r="D13" s="28" t="n">
        <v>2</v>
      </c>
      <c r="E13" s="28" t="n">
        <v>1</v>
      </c>
      <c r="F13" s="40">
        <f>IF(COUNT(C13:E13)&lt;3,"",SUM(C13:E13))</f>
        <v/>
      </c>
      <c r="G13" s="28" t="n">
        <v>1</v>
      </c>
      <c r="H13" s="34">
        <f>IF(OR(F13="",N(G13)=0),"",ROUND(F13/G13,2))</f>
        <v/>
      </c>
      <c r="I13" s="19">
        <f>IF(H13="","",COUNTIF($H$7:$H$14,"&gt;"&amp;(H13+0.005))+1)</f>
        <v/>
      </c>
      <c r="J13">
        <f>IF(I13="","",I13+COUNTIF($I$7:I13,I13)-1)</f>
        <v/>
      </c>
      <c r="L13" s="19">
        <f>IFERROR(INDEX($I$7:$I$14,MATCH(7,$J$7:$J$14,0)),"")</f>
        <v/>
      </c>
      <c r="M13" s="20">
        <f>IFERROR(INDEX($B$7:$B$14,MATCH(7,$J$7:$J$14,0)),"")</f>
        <v/>
      </c>
      <c r="N13" s="19">
        <f>IFERROR(INDEX($H$7:$H$14,MATCH(7,$J$7:$J$14,0)),"")</f>
        <v/>
      </c>
    </row>
    <row r="14" ht="24" customHeight="1">
      <c r="A14" s="19" t="n">
        <v>8</v>
      </c>
      <c r="B14" s="20" t="inlineStr">
        <is>
          <t>Receipt capture</t>
        </is>
      </c>
      <c r="C14" s="28" t="n">
        <v>1</v>
      </c>
      <c r="D14" s="28" t="n">
        <v>1</v>
      </c>
      <c r="E14" s="28" t="n">
        <v>1</v>
      </c>
      <c r="F14" s="40">
        <f>IF(COUNT(C14:E14)&lt;3,"",SUM(C14:E14))</f>
        <v/>
      </c>
      <c r="G14" s="28" t="n">
        <v>2</v>
      </c>
      <c r="H14" s="34">
        <f>IF(OR(F14="",N(G14)=0),"",ROUND(F14/G14,2))</f>
        <v/>
      </c>
      <c r="I14" s="19">
        <f>IF(H14="","",COUNTIF($H$7:$H$14,"&gt;"&amp;(H14+0.005))+1)</f>
        <v/>
      </c>
      <c r="J14">
        <f>IF(I14="","",I14+COUNTIF($I$7:I14,I14)-1)</f>
        <v/>
      </c>
      <c r="L14" s="19">
        <f>IFERROR(INDEX($I$7:$I$14,MATCH(8,$J$7:$J$14,0)),"")</f>
        <v/>
      </c>
      <c r="M14" s="20">
        <f>IFERROR(INDEX($B$7:$B$14,MATCH(8,$J$7:$J$14,0)),"")</f>
        <v/>
      </c>
      <c r="N14" s="19">
        <f>IFERROR(INDEX($H$7:$H$14,MATCH(8,$J$7:$J$14,0)),"")</f>
        <v/>
      </c>
    </row>
    <row r="15">
      <c r="B15" s="53" t="inlineStr">
        <is>
          <t>Smallest item = 1?</t>
        </is>
      </c>
      <c r="C15" s="54">
        <f>IF(COUNT(C7:C14)=0,"",IF(COUNTIF(C7:C14,1)=0,"✗ no 1",IF(COUNT(C7:C14)=COUNTIF(C7:C14,1)+COUNTIF(C7:C14,2)+COUNTIF(C7:C14,3)+COUNTIF(C7:C14,5)+COUNTIF(C7:C14,8)+COUNTIF(C7:C14,13)+COUNTIF(C7:C14,20),"✓","✗ scale")))</f>
        <v/>
      </c>
      <c r="D15" s="54">
        <f>IF(COUNT(D7:D14)=0,"",IF(COUNTIF(D7:D14,1)=0,"✗ no 1",IF(COUNT(D7:D14)=COUNTIF(D7:D14,1)+COUNTIF(D7:D14,2)+COUNTIF(D7:D14,3)+COUNTIF(D7:D14,5)+COUNTIF(D7:D14,8)+COUNTIF(D7:D14,13)+COUNTIF(D7:D14,20),"✓","✗ scale")))</f>
        <v/>
      </c>
      <c r="E15" s="54">
        <f>IF(COUNT(E7:E14)=0,"",IF(COUNTIF(E7:E14,1)=0,"✗ no 1",IF(COUNT(E7:E14)=COUNTIF(E7:E14,1)+COUNTIF(E7:E14,2)+COUNTIF(E7:E14,3)+COUNTIF(E7:E14,5)+COUNTIF(E7:E14,8)+COUNTIF(E7:E14,13)+COUNTIF(E7:E14,20),"✓","✗ scale")))</f>
        <v/>
      </c>
      <c r="G15" s="54">
        <f>IF(COUNT(G7:G14)=0,"",IF(COUNTIF(G7:G14,1)=0,"✗ no 1",IF(COUNT(G7:G14)=COUNTIF(G7:G14,1)+COUNTIF(G7:G14,2)+COUNTIF(G7:G14,3)+COUNTIF(G7:G14,5)+COUNTIF(G7:G14,8)+COUNTIF(G7:G14,13)+COUNTIF(G7:G14,20),"✓","✗ scale")))</f>
        <v/>
      </c>
    </row>
    <row r="17">
      <c r="B17" s="22" t="inlineStr">
        <is>
          <t>Modified Fibonacci scale: 1, 2, 3, 5, 8, 13, 20. Estimate ONE column at a time: the smallest item in the column gets a 1, everything else is sized against it.</t>
        </is>
      </c>
    </row>
    <row r="18">
      <c r="B18" s="22" t="inlineStr">
        <is>
          <t>User-business value: how much users or the business gain. Time criticality: how fast the value decays, or whether a date is coming.</t>
        </is>
      </c>
    </row>
    <row r="19">
      <c r="B19" s="22" t="inlineStr">
        <is>
          <t>Risk reduction / opportunity enablement: does doing it make other work safer, or possible?</t>
        </is>
      </c>
    </row>
    <row r="20">
      <c r="B20" s="22" t="inlineStr">
        <is>
          <t>Job size stands in for duration. SAFe calls it a proxy: dependencies can override the order.</t>
        </is>
      </c>
    </row>
    <row r="21">
      <c r="B21" s="22" t="inlineStr">
        <is>
          <t>Source: WSJF as defined by SAFe (Scaled Agile Framework).</t>
        </is>
      </c>
    </row>
    <row r="22">
      <c r="B22" s="22" t="inlineStr">
        <is>
          <t>Every Tallyrow number is invented for teaching.</t>
        </is>
      </c>
    </row>
  </sheetData>
  <conditionalFormatting sqref="C15:G15">
    <cfRule type="expression" priority="1" dxfId="0">
      <formula>LEFT(C15,1)="✗"</formula>
    </cfRule>
  </conditionalFormatting>
  <conditionalFormatting sqref="C7:C14">
    <cfRule type="expression" priority="2" dxfId="0">
      <formula>AND(C7&lt;&gt;"",ISERROR(MATCH(C7,{1,2,3,5,8,13,20},0)))</formula>
    </cfRule>
  </conditionalFormatting>
  <conditionalFormatting sqref="D7:D14">
    <cfRule type="expression" priority="3" dxfId="0">
      <formula>AND(D7&lt;&gt;"",ISERROR(MATCH(D7,{1,2,3,5,8,13,20},0)))</formula>
    </cfRule>
  </conditionalFormatting>
  <conditionalFormatting sqref="E7:E14">
    <cfRule type="expression" priority="4" dxfId="0">
      <formula>AND(E7&lt;&gt;"",ISERROR(MATCH(E7,{1,2,3,5,8,13,20},0)))</formula>
    </cfRule>
  </conditionalFormatting>
  <conditionalFormatting sqref="G7:G14">
    <cfRule type="expression" priority="5" dxfId="0">
      <formula>AND(G7&lt;&gt;"",ISERROR(MATCH(G7,{1,2,3,5,8,13,20},0)))</formula>
    </cfRule>
  </conditionalFormatting>
  <conditionalFormatting sqref="L7:N7">
    <cfRule type="expression" priority="6" dxfId="1">
      <formula>$M$7&lt;&gt;""</formula>
    </cfRule>
  </conditionalFormatting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2451D1"/>
    <outlinePr summaryBelow="1" summaryRight="1"/>
    <pageSetUpPr fitToPage="1"/>
  </sheetPr>
  <dimension ref="A1:N28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12" customWidth="1" min="3" max="3"/>
    <col width="12" customWidth="1" min="4" max="4"/>
    <col width="14" customWidth="1" min="5" max="5"/>
    <col width="11" customWidth="1" min="6" max="6"/>
    <col width="10" customWidth="1" min="7" max="7"/>
    <col width="10" customWidth="1" min="8" max="8"/>
    <col width="7" customWidth="1" min="9" max="9"/>
    <col hidden="1" width="4" customWidth="1" min="10" max="10"/>
    <col width="3" customWidth="1" min="11" max="11"/>
    <col width="7" customWidth="1" min="12" max="12"/>
    <col width="22" customWidth="1" min="13" max="13"/>
    <col width="9" customWidth="1" min="14" max="14"/>
  </cols>
  <sheetData>
    <row r="1">
      <c r="A1" s="7" t="inlineStr">
        <is>
          <t>WSJF · your backlog</t>
        </is>
      </c>
    </row>
    <row r="2">
      <c r="A2" s="5" t="inlineStr">
        <is>
          <t>List the items, then fill one column at a time. In each column, the smallest item gets a 1.</t>
        </is>
      </c>
    </row>
    <row r="4">
      <c r="B4" s="48" t="inlineStr">
        <is>
          <t>WSJF = (value + time criticality + risk / opportunity) ÷ job size</t>
        </is>
      </c>
    </row>
    <row r="6" ht="44" customHeight="1">
      <c r="A6" s="8" t="inlineStr">
        <is>
          <t>#</t>
        </is>
      </c>
      <c r="B6" s="8" t="inlineStr">
        <is>
          <t>Item</t>
        </is>
      </c>
      <c r="C6" s="8" t="inlineStr">
        <is>
          <t>User-business value</t>
        </is>
      </c>
      <c r="D6" s="52" t="inlineStr">
        <is>
          <t>Time criticality</t>
        </is>
      </c>
      <c r="E6" s="8" t="inlineStr">
        <is>
          <t>Risk reduction / opportunity enablement</t>
        </is>
      </c>
      <c r="F6" s="8" t="inlineStr">
        <is>
          <t>Cost of delay (sum)</t>
        </is>
      </c>
      <c r="G6" s="8" t="inlineStr">
        <is>
          <t>Job size</t>
        </is>
      </c>
      <c r="H6" s="8" t="inlineStr">
        <is>
          <t>WSJF</t>
        </is>
      </c>
      <c r="I6" s="8" t="inlineStr">
        <is>
          <t>Rank</t>
        </is>
      </c>
      <c r="L6" s="9" t="inlineStr">
        <is>
          <t>Rank</t>
        </is>
      </c>
      <c r="M6" s="9" t="inlineStr">
        <is>
          <t>Ranked view</t>
        </is>
      </c>
      <c r="N6" s="9" t="inlineStr">
        <is>
          <t>WSJF</t>
        </is>
      </c>
    </row>
    <row r="7" ht="24" customHeight="1">
      <c r="A7" s="19" t="n">
        <v>1</v>
      </c>
      <c r="B7" s="20" t="n"/>
      <c r="C7" s="28" t="n"/>
      <c r="D7" s="28" t="n"/>
      <c r="E7" s="28" t="n"/>
      <c r="F7" s="40">
        <f>IF(COUNT(C7:E7)&lt;3,"",SUM(C7:E7))</f>
        <v/>
      </c>
      <c r="G7" s="28" t="n"/>
      <c r="H7" s="34">
        <f>IF(OR(F7="",N(G7)=0),"",ROUND(F7/G7,2))</f>
        <v/>
      </c>
      <c r="I7" s="19">
        <f>IF(H7="","",COUNTIF($H$7:$H$21,"&gt;"&amp;(H7+0.005))+1)</f>
        <v/>
      </c>
      <c r="J7">
        <f>IF(I7="","",I7+COUNTIF($I$7:I7,I7)-1)</f>
        <v/>
      </c>
      <c r="L7" s="19">
        <f>IFERROR(INDEX($I$7:$I$21,MATCH(1,$J$7:$J$21,0)),"")</f>
        <v/>
      </c>
      <c r="M7" s="20">
        <f>IFERROR(INDEX($B$7:$B$21,MATCH(1,$J$7:$J$21,0)),"")</f>
        <v/>
      </c>
      <c r="N7" s="19">
        <f>IFERROR(INDEX($H$7:$H$21,MATCH(1,$J$7:$J$21,0)),"")</f>
        <v/>
      </c>
    </row>
    <row r="8" ht="24" customHeight="1">
      <c r="A8" s="19" t="n">
        <v>2</v>
      </c>
      <c r="B8" s="20" t="n"/>
      <c r="C8" s="28" t="n"/>
      <c r="D8" s="28" t="n"/>
      <c r="E8" s="28" t="n"/>
      <c r="F8" s="40">
        <f>IF(COUNT(C8:E8)&lt;3,"",SUM(C8:E8))</f>
        <v/>
      </c>
      <c r="G8" s="28" t="n"/>
      <c r="H8" s="34">
        <f>IF(OR(F8="",N(G8)=0),"",ROUND(F8/G8,2))</f>
        <v/>
      </c>
      <c r="I8" s="19">
        <f>IF(H8="","",COUNTIF($H$7:$H$21,"&gt;"&amp;(H8+0.005))+1)</f>
        <v/>
      </c>
      <c r="J8">
        <f>IF(I8="","",I8+COUNTIF($I$7:I8,I8)-1)</f>
        <v/>
      </c>
      <c r="L8" s="19">
        <f>IFERROR(INDEX($I$7:$I$21,MATCH(2,$J$7:$J$21,0)),"")</f>
        <v/>
      </c>
      <c r="M8" s="20">
        <f>IFERROR(INDEX($B$7:$B$21,MATCH(2,$J$7:$J$21,0)),"")</f>
        <v/>
      </c>
      <c r="N8" s="19">
        <f>IFERROR(INDEX($H$7:$H$21,MATCH(2,$J$7:$J$21,0)),"")</f>
        <v/>
      </c>
    </row>
    <row r="9" ht="24" customHeight="1">
      <c r="A9" s="19" t="n">
        <v>3</v>
      </c>
      <c r="B9" s="20" t="n"/>
      <c r="C9" s="28" t="n"/>
      <c r="D9" s="28" t="n"/>
      <c r="E9" s="28" t="n"/>
      <c r="F9" s="40">
        <f>IF(COUNT(C9:E9)&lt;3,"",SUM(C9:E9))</f>
        <v/>
      </c>
      <c r="G9" s="28" t="n"/>
      <c r="H9" s="34">
        <f>IF(OR(F9="",N(G9)=0),"",ROUND(F9/G9,2))</f>
        <v/>
      </c>
      <c r="I9" s="19">
        <f>IF(H9="","",COUNTIF($H$7:$H$21,"&gt;"&amp;(H9+0.005))+1)</f>
        <v/>
      </c>
      <c r="J9">
        <f>IF(I9="","",I9+COUNTIF($I$7:I9,I9)-1)</f>
        <v/>
      </c>
      <c r="L9" s="19">
        <f>IFERROR(INDEX($I$7:$I$21,MATCH(3,$J$7:$J$21,0)),"")</f>
        <v/>
      </c>
      <c r="M9" s="20">
        <f>IFERROR(INDEX($B$7:$B$21,MATCH(3,$J$7:$J$21,0)),"")</f>
        <v/>
      </c>
      <c r="N9" s="19">
        <f>IFERROR(INDEX($H$7:$H$21,MATCH(3,$J$7:$J$21,0)),"")</f>
        <v/>
      </c>
    </row>
    <row r="10" ht="24" customHeight="1">
      <c r="A10" s="19" t="n">
        <v>4</v>
      </c>
      <c r="B10" s="20" t="n"/>
      <c r="C10" s="28" t="n"/>
      <c r="D10" s="28" t="n"/>
      <c r="E10" s="28" t="n"/>
      <c r="F10" s="40">
        <f>IF(COUNT(C10:E10)&lt;3,"",SUM(C10:E10))</f>
        <v/>
      </c>
      <c r="G10" s="28" t="n"/>
      <c r="H10" s="34">
        <f>IF(OR(F10="",N(G10)=0),"",ROUND(F10/G10,2))</f>
        <v/>
      </c>
      <c r="I10" s="19">
        <f>IF(H10="","",COUNTIF($H$7:$H$21,"&gt;"&amp;(H10+0.005))+1)</f>
        <v/>
      </c>
      <c r="J10">
        <f>IF(I10="","",I10+COUNTIF($I$7:I10,I10)-1)</f>
        <v/>
      </c>
      <c r="L10" s="19">
        <f>IFERROR(INDEX($I$7:$I$21,MATCH(4,$J$7:$J$21,0)),"")</f>
        <v/>
      </c>
      <c r="M10" s="20">
        <f>IFERROR(INDEX($B$7:$B$21,MATCH(4,$J$7:$J$21,0)),"")</f>
        <v/>
      </c>
      <c r="N10" s="19">
        <f>IFERROR(INDEX($H$7:$H$21,MATCH(4,$J$7:$J$21,0)),"")</f>
        <v/>
      </c>
    </row>
    <row r="11" ht="24" customHeight="1">
      <c r="A11" s="19" t="n">
        <v>5</v>
      </c>
      <c r="B11" s="20" t="n"/>
      <c r="C11" s="28" t="n"/>
      <c r="D11" s="28" t="n"/>
      <c r="E11" s="28" t="n"/>
      <c r="F11" s="40">
        <f>IF(COUNT(C11:E11)&lt;3,"",SUM(C11:E11))</f>
        <v/>
      </c>
      <c r="G11" s="28" t="n"/>
      <c r="H11" s="34">
        <f>IF(OR(F11="",N(G11)=0),"",ROUND(F11/G11,2))</f>
        <v/>
      </c>
      <c r="I11" s="19">
        <f>IF(H11="","",COUNTIF($H$7:$H$21,"&gt;"&amp;(H11+0.005))+1)</f>
        <v/>
      </c>
      <c r="J11">
        <f>IF(I11="","",I11+COUNTIF($I$7:I11,I11)-1)</f>
        <v/>
      </c>
      <c r="L11" s="19">
        <f>IFERROR(INDEX($I$7:$I$21,MATCH(5,$J$7:$J$21,0)),"")</f>
        <v/>
      </c>
      <c r="M11" s="20">
        <f>IFERROR(INDEX($B$7:$B$21,MATCH(5,$J$7:$J$21,0)),"")</f>
        <v/>
      </c>
      <c r="N11" s="19">
        <f>IFERROR(INDEX($H$7:$H$21,MATCH(5,$J$7:$J$21,0)),"")</f>
        <v/>
      </c>
    </row>
    <row r="12" ht="24" customHeight="1">
      <c r="A12" s="19" t="n">
        <v>6</v>
      </c>
      <c r="B12" s="20" t="n"/>
      <c r="C12" s="28" t="n"/>
      <c r="D12" s="28" t="n"/>
      <c r="E12" s="28" t="n"/>
      <c r="F12" s="40">
        <f>IF(COUNT(C12:E12)&lt;3,"",SUM(C12:E12))</f>
        <v/>
      </c>
      <c r="G12" s="28" t="n"/>
      <c r="H12" s="34">
        <f>IF(OR(F12="",N(G12)=0),"",ROUND(F12/G12,2))</f>
        <v/>
      </c>
      <c r="I12" s="19">
        <f>IF(H12="","",COUNTIF($H$7:$H$21,"&gt;"&amp;(H12+0.005))+1)</f>
        <v/>
      </c>
      <c r="J12">
        <f>IF(I12="","",I12+COUNTIF($I$7:I12,I12)-1)</f>
        <v/>
      </c>
      <c r="L12" s="19">
        <f>IFERROR(INDEX($I$7:$I$21,MATCH(6,$J$7:$J$21,0)),"")</f>
        <v/>
      </c>
      <c r="M12" s="20">
        <f>IFERROR(INDEX($B$7:$B$21,MATCH(6,$J$7:$J$21,0)),"")</f>
        <v/>
      </c>
      <c r="N12" s="19">
        <f>IFERROR(INDEX($H$7:$H$21,MATCH(6,$J$7:$J$21,0)),"")</f>
        <v/>
      </c>
    </row>
    <row r="13" ht="24" customHeight="1">
      <c r="A13" s="19" t="n">
        <v>7</v>
      </c>
      <c r="B13" s="20" t="n"/>
      <c r="C13" s="28" t="n"/>
      <c r="D13" s="28" t="n"/>
      <c r="E13" s="28" t="n"/>
      <c r="F13" s="40">
        <f>IF(COUNT(C13:E13)&lt;3,"",SUM(C13:E13))</f>
        <v/>
      </c>
      <c r="G13" s="28" t="n"/>
      <c r="H13" s="34">
        <f>IF(OR(F13="",N(G13)=0),"",ROUND(F13/G13,2))</f>
        <v/>
      </c>
      <c r="I13" s="19">
        <f>IF(H13="","",COUNTIF($H$7:$H$21,"&gt;"&amp;(H13+0.005))+1)</f>
        <v/>
      </c>
      <c r="J13">
        <f>IF(I13="","",I13+COUNTIF($I$7:I13,I13)-1)</f>
        <v/>
      </c>
      <c r="L13" s="19">
        <f>IFERROR(INDEX($I$7:$I$21,MATCH(7,$J$7:$J$21,0)),"")</f>
        <v/>
      </c>
      <c r="M13" s="20">
        <f>IFERROR(INDEX($B$7:$B$21,MATCH(7,$J$7:$J$21,0)),"")</f>
        <v/>
      </c>
      <c r="N13" s="19">
        <f>IFERROR(INDEX($H$7:$H$21,MATCH(7,$J$7:$J$21,0)),"")</f>
        <v/>
      </c>
    </row>
    <row r="14" ht="24" customHeight="1">
      <c r="A14" s="19" t="n">
        <v>8</v>
      </c>
      <c r="B14" s="20" t="n"/>
      <c r="C14" s="28" t="n"/>
      <c r="D14" s="28" t="n"/>
      <c r="E14" s="28" t="n"/>
      <c r="F14" s="40">
        <f>IF(COUNT(C14:E14)&lt;3,"",SUM(C14:E14))</f>
        <v/>
      </c>
      <c r="G14" s="28" t="n"/>
      <c r="H14" s="34">
        <f>IF(OR(F14="",N(G14)=0),"",ROUND(F14/G14,2))</f>
        <v/>
      </c>
      <c r="I14" s="19">
        <f>IF(H14="","",COUNTIF($H$7:$H$21,"&gt;"&amp;(H14+0.005))+1)</f>
        <v/>
      </c>
      <c r="J14">
        <f>IF(I14="","",I14+COUNTIF($I$7:I14,I14)-1)</f>
        <v/>
      </c>
      <c r="L14" s="19">
        <f>IFERROR(INDEX($I$7:$I$21,MATCH(8,$J$7:$J$21,0)),"")</f>
        <v/>
      </c>
      <c r="M14" s="20">
        <f>IFERROR(INDEX($B$7:$B$21,MATCH(8,$J$7:$J$21,0)),"")</f>
        <v/>
      </c>
      <c r="N14" s="19">
        <f>IFERROR(INDEX($H$7:$H$21,MATCH(8,$J$7:$J$21,0)),"")</f>
        <v/>
      </c>
    </row>
    <row r="15" ht="24" customHeight="1">
      <c r="A15" s="19" t="n">
        <v>9</v>
      </c>
      <c r="B15" s="20" t="n"/>
      <c r="C15" s="28" t="n"/>
      <c r="D15" s="28" t="n"/>
      <c r="E15" s="28" t="n"/>
      <c r="F15" s="40">
        <f>IF(COUNT(C15:E15)&lt;3,"",SUM(C15:E15))</f>
        <v/>
      </c>
      <c r="G15" s="28" t="n"/>
      <c r="H15" s="34">
        <f>IF(OR(F15="",N(G15)=0),"",ROUND(F15/G15,2))</f>
        <v/>
      </c>
      <c r="I15" s="19">
        <f>IF(H15="","",COUNTIF($H$7:$H$21,"&gt;"&amp;(H15+0.005))+1)</f>
        <v/>
      </c>
      <c r="J15">
        <f>IF(I15="","",I15+COUNTIF($I$7:I15,I15)-1)</f>
        <v/>
      </c>
      <c r="L15" s="19">
        <f>IFERROR(INDEX($I$7:$I$21,MATCH(9,$J$7:$J$21,0)),"")</f>
        <v/>
      </c>
      <c r="M15" s="20">
        <f>IFERROR(INDEX($B$7:$B$21,MATCH(9,$J$7:$J$21,0)),"")</f>
        <v/>
      </c>
      <c r="N15" s="19">
        <f>IFERROR(INDEX($H$7:$H$21,MATCH(9,$J$7:$J$21,0)),"")</f>
        <v/>
      </c>
    </row>
    <row r="16" ht="24" customHeight="1">
      <c r="A16" s="19" t="n">
        <v>10</v>
      </c>
      <c r="B16" s="20" t="n"/>
      <c r="C16" s="28" t="n"/>
      <c r="D16" s="28" t="n"/>
      <c r="E16" s="28" t="n"/>
      <c r="F16" s="40">
        <f>IF(COUNT(C16:E16)&lt;3,"",SUM(C16:E16))</f>
        <v/>
      </c>
      <c r="G16" s="28" t="n"/>
      <c r="H16" s="34">
        <f>IF(OR(F16="",N(G16)=0),"",ROUND(F16/G16,2))</f>
        <v/>
      </c>
      <c r="I16" s="19">
        <f>IF(H16="","",COUNTIF($H$7:$H$21,"&gt;"&amp;(H16+0.005))+1)</f>
        <v/>
      </c>
      <c r="J16">
        <f>IF(I16="","",I16+COUNTIF($I$7:I16,I16)-1)</f>
        <v/>
      </c>
      <c r="L16" s="19">
        <f>IFERROR(INDEX($I$7:$I$21,MATCH(10,$J$7:$J$21,0)),"")</f>
        <v/>
      </c>
      <c r="M16" s="20">
        <f>IFERROR(INDEX($B$7:$B$21,MATCH(10,$J$7:$J$21,0)),"")</f>
        <v/>
      </c>
      <c r="N16" s="19">
        <f>IFERROR(INDEX($H$7:$H$21,MATCH(10,$J$7:$J$21,0)),"")</f>
        <v/>
      </c>
    </row>
    <row r="17" ht="24" customHeight="1">
      <c r="A17" s="19" t="n">
        <v>11</v>
      </c>
      <c r="B17" s="20" t="n"/>
      <c r="C17" s="28" t="n"/>
      <c r="D17" s="28" t="n"/>
      <c r="E17" s="28" t="n"/>
      <c r="F17" s="40">
        <f>IF(COUNT(C17:E17)&lt;3,"",SUM(C17:E17))</f>
        <v/>
      </c>
      <c r="G17" s="28" t="n"/>
      <c r="H17" s="34">
        <f>IF(OR(F17="",N(G17)=0),"",ROUND(F17/G17,2))</f>
        <v/>
      </c>
      <c r="I17" s="19">
        <f>IF(H17="","",COUNTIF($H$7:$H$21,"&gt;"&amp;(H17+0.005))+1)</f>
        <v/>
      </c>
      <c r="J17">
        <f>IF(I17="","",I17+COUNTIF($I$7:I17,I17)-1)</f>
        <v/>
      </c>
      <c r="L17" s="19">
        <f>IFERROR(INDEX($I$7:$I$21,MATCH(11,$J$7:$J$21,0)),"")</f>
        <v/>
      </c>
      <c r="M17" s="20">
        <f>IFERROR(INDEX($B$7:$B$21,MATCH(11,$J$7:$J$21,0)),"")</f>
        <v/>
      </c>
      <c r="N17" s="19">
        <f>IFERROR(INDEX($H$7:$H$21,MATCH(11,$J$7:$J$21,0)),"")</f>
        <v/>
      </c>
    </row>
    <row r="18" ht="24" customHeight="1">
      <c r="A18" s="19" t="n">
        <v>12</v>
      </c>
      <c r="B18" s="20" t="n"/>
      <c r="C18" s="28" t="n"/>
      <c r="D18" s="28" t="n"/>
      <c r="E18" s="28" t="n"/>
      <c r="F18" s="40">
        <f>IF(COUNT(C18:E18)&lt;3,"",SUM(C18:E18))</f>
        <v/>
      </c>
      <c r="G18" s="28" t="n"/>
      <c r="H18" s="34">
        <f>IF(OR(F18="",N(G18)=0),"",ROUND(F18/G18,2))</f>
        <v/>
      </c>
      <c r="I18" s="19">
        <f>IF(H18="","",COUNTIF($H$7:$H$21,"&gt;"&amp;(H18+0.005))+1)</f>
        <v/>
      </c>
      <c r="J18">
        <f>IF(I18="","",I18+COUNTIF($I$7:I18,I18)-1)</f>
        <v/>
      </c>
      <c r="L18" s="19">
        <f>IFERROR(INDEX($I$7:$I$21,MATCH(12,$J$7:$J$21,0)),"")</f>
        <v/>
      </c>
      <c r="M18" s="20">
        <f>IFERROR(INDEX($B$7:$B$21,MATCH(12,$J$7:$J$21,0)),"")</f>
        <v/>
      </c>
      <c r="N18" s="19">
        <f>IFERROR(INDEX($H$7:$H$21,MATCH(12,$J$7:$J$21,0)),"")</f>
        <v/>
      </c>
    </row>
    <row r="19" ht="24" customHeight="1">
      <c r="A19" s="19" t="n">
        <v>13</v>
      </c>
      <c r="B19" s="20" t="n"/>
      <c r="C19" s="28" t="n"/>
      <c r="D19" s="28" t="n"/>
      <c r="E19" s="28" t="n"/>
      <c r="F19" s="40">
        <f>IF(COUNT(C19:E19)&lt;3,"",SUM(C19:E19))</f>
        <v/>
      </c>
      <c r="G19" s="28" t="n"/>
      <c r="H19" s="34">
        <f>IF(OR(F19="",N(G19)=0),"",ROUND(F19/G19,2))</f>
        <v/>
      </c>
      <c r="I19" s="19">
        <f>IF(H19="","",COUNTIF($H$7:$H$21,"&gt;"&amp;(H19+0.005))+1)</f>
        <v/>
      </c>
      <c r="J19">
        <f>IF(I19="","",I19+COUNTIF($I$7:I19,I19)-1)</f>
        <v/>
      </c>
      <c r="L19" s="19">
        <f>IFERROR(INDEX($I$7:$I$21,MATCH(13,$J$7:$J$21,0)),"")</f>
        <v/>
      </c>
      <c r="M19" s="20">
        <f>IFERROR(INDEX($B$7:$B$21,MATCH(13,$J$7:$J$21,0)),"")</f>
        <v/>
      </c>
      <c r="N19" s="19">
        <f>IFERROR(INDEX($H$7:$H$21,MATCH(13,$J$7:$J$21,0)),"")</f>
        <v/>
      </c>
    </row>
    <row r="20" ht="24" customHeight="1">
      <c r="A20" s="19" t="n">
        <v>14</v>
      </c>
      <c r="B20" s="20" t="n"/>
      <c r="C20" s="28" t="n"/>
      <c r="D20" s="28" t="n"/>
      <c r="E20" s="28" t="n"/>
      <c r="F20" s="40">
        <f>IF(COUNT(C20:E20)&lt;3,"",SUM(C20:E20))</f>
        <v/>
      </c>
      <c r="G20" s="28" t="n"/>
      <c r="H20" s="34">
        <f>IF(OR(F20="",N(G20)=0),"",ROUND(F20/G20,2))</f>
        <v/>
      </c>
      <c r="I20" s="19">
        <f>IF(H20="","",COUNTIF($H$7:$H$21,"&gt;"&amp;(H20+0.005))+1)</f>
        <v/>
      </c>
      <c r="J20">
        <f>IF(I20="","",I20+COUNTIF($I$7:I20,I20)-1)</f>
        <v/>
      </c>
      <c r="L20" s="19">
        <f>IFERROR(INDEX($I$7:$I$21,MATCH(14,$J$7:$J$21,0)),"")</f>
        <v/>
      </c>
      <c r="M20" s="20">
        <f>IFERROR(INDEX($B$7:$B$21,MATCH(14,$J$7:$J$21,0)),"")</f>
        <v/>
      </c>
      <c r="N20" s="19">
        <f>IFERROR(INDEX($H$7:$H$21,MATCH(14,$J$7:$J$21,0)),"")</f>
        <v/>
      </c>
    </row>
    <row r="21" ht="24" customHeight="1">
      <c r="A21" s="19" t="n">
        <v>15</v>
      </c>
      <c r="B21" s="20" t="n"/>
      <c r="C21" s="28" t="n"/>
      <c r="D21" s="28" t="n"/>
      <c r="E21" s="28" t="n"/>
      <c r="F21" s="40">
        <f>IF(COUNT(C21:E21)&lt;3,"",SUM(C21:E21))</f>
        <v/>
      </c>
      <c r="G21" s="28" t="n"/>
      <c r="H21" s="34">
        <f>IF(OR(F21="",N(G21)=0),"",ROUND(F21/G21,2))</f>
        <v/>
      </c>
      <c r="I21" s="19">
        <f>IF(H21="","",COUNTIF($H$7:$H$21,"&gt;"&amp;(H21+0.005))+1)</f>
        <v/>
      </c>
      <c r="J21">
        <f>IF(I21="","",I21+COUNTIF($I$7:I21,I21)-1)</f>
        <v/>
      </c>
      <c r="L21" s="19">
        <f>IFERROR(INDEX($I$7:$I$21,MATCH(15,$J$7:$J$21,0)),"")</f>
        <v/>
      </c>
      <c r="M21" s="20">
        <f>IFERROR(INDEX($B$7:$B$21,MATCH(15,$J$7:$J$21,0)),"")</f>
        <v/>
      </c>
      <c r="N21" s="19">
        <f>IFERROR(INDEX($H$7:$H$21,MATCH(15,$J$7:$J$21,0)),"")</f>
        <v/>
      </c>
    </row>
    <row r="22">
      <c r="B22" s="53" t="inlineStr">
        <is>
          <t>Smallest item = 1?</t>
        </is>
      </c>
      <c r="C22" s="54">
        <f>IF(COUNT(C7:C21)=0,"",IF(COUNTIF(C7:C21,1)=0,"✗ no 1",IF(COUNT(C7:C21)=COUNTIF(C7:C21,1)+COUNTIF(C7:C21,2)+COUNTIF(C7:C21,3)+COUNTIF(C7:C21,5)+COUNTIF(C7:C21,8)+COUNTIF(C7:C21,13)+COUNTIF(C7:C21,20),"✓","✗ scale")))</f>
        <v/>
      </c>
      <c r="D22" s="54">
        <f>IF(COUNT(D7:D21)=0,"",IF(COUNTIF(D7:D21,1)=0,"✗ no 1",IF(COUNT(D7:D21)=COUNTIF(D7:D21,1)+COUNTIF(D7:D21,2)+COUNTIF(D7:D21,3)+COUNTIF(D7:D21,5)+COUNTIF(D7:D21,8)+COUNTIF(D7:D21,13)+COUNTIF(D7:D21,20),"✓","✗ scale")))</f>
        <v/>
      </c>
      <c r="E22" s="54">
        <f>IF(COUNT(E7:E21)=0,"",IF(COUNTIF(E7:E21,1)=0,"✗ no 1",IF(COUNT(E7:E21)=COUNTIF(E7:E21,1)+COUNTIF(E7:E21,2)+COUNTIF(E7:E21,3)+COUNTIF(E7:E21,5)+COUNTIF(E7:E21,8)+COUNTIF(E7:E21,13)+COUNTIF(E7:E21,20),"✓","✗ scale")))</f>
        <v/>
      </c>
      <c r="G22" s="54">
        <f>IF(COUNT(G7:G21)=0,"",IF(COUNTIF(G7:G21,1)=0,"✗ no 1",IF(COUNT(G7:G21)=COUNTIF(G7:G21,1)+COUNTIF(G7:G21,2)+COUNTIF(G7:G21,3)+COUNTIF(G7:G21,5)+COUNTIF(G7:G21,8)+COUNTIF(G7:G21,13)+COUNTIF(G7:G21,20),"✓","✗ scale")))</f>
        <v/>
      </c>
    </row>
    <row r="24">
      <c r="B24" s="22" t="inlineStr">
        <is>
          <t>Modified Fibonacci scale: 1, 2, 3, 5, 8, 13, 20. Estimate ONE column at a time: the smallest item in the column gets a 1, everything else is sized against it.</t>
        </is>
      </c>
    </row>
    <row r="25">
      <c r="B25" s="22" t="inlineStr">
        <is>
          <t>User-business value: how much users or the business gain. Time criticality: how fast the value decays, or whether a date is coming.</t>
        </is>
      </c>
    </row>
    <row r="26">
      <c r="B26" s="22" t="inlineStr">
        <is>
          <t>Risk reduction / opportunity enablement: does doing it make other work safer, or possible?</t>
        </is>
      </c>
    </row>
    <row r="27">
      <c r="B27" s="22" t="inlineStr">
        <is>
          <t>Job size stands in for duration. SAFe calls it a proxy: dependencies can override the order.</t>
        </is>
      </c>
    </row>
    <row r="28">
      <c r="B28" s="22" t="inlineStr">
        <is>
          <t>Source: WSJF as defined by SAFe (Scaled Agile Framework).</t>
        </is>
      </c>
    </row>
  </sheetData>
  <conditionalFormatting sqref="C22:G22">
    <cfRule type="expression" priority="1" dxfId="0">
      <formula>LEFT(C22,1)="✗"</formula>
    </cfRule>
  </conditionalFormatting>
  <conditionalFormatting sqref="C7:C21">
    <cfRule type="expression" priority="2" dxfId="0">
      <formula>AND(C7&lt;&gt;"",ISERROR(MATCH(C7,{1,2,3,5,8,13,20},0)))</formula>
    </cfRule>
  </conditionalFormatting>
  <conditionalFormatting sqref="D7:D21">
    <cfRule type="expression" priority="3" dxfId="0">
      <formula>AND(D7&lt;&gt;"",ISERROR(MATCH(D7,{1,2,3,5,8,13,20},0)))</formula>
    </cfRule>
  </conditionalFormatting>
  <conditionalFormatting sqref="E7:E21">
    <cfRule type="expression" priority="4" dxfId="0">
      <formula>AND(E7&lt;&gt;"",ISERROR(MATCH(E7,{1,2,3,5,8,13,20},0)))</formula>
    </cfRule>
  </conditionalFormatting>
  <conditionalFormatting sqref="G7:G21">
    <cfRule type="expression" priority="5" dxfId="0">
      <formula>AND(G7&lt;&gt;"",ISERROR(MATCH(G7,{1,2,3,5,8,13,20},0)))</formula>
    </cfRule>
  </conditionalFormatting>
  <conditionalFormatting sqref="L7:N7">
    <cfRule type="expression" priority="6" dxfId="1">
      <formula>$M$7&lt;&gt;""</formula>
    </cfRule>
  </conditionalFormatting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5B5866"/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92" customWidth="1" min="3" max="3"/>
  </cols>
  <sheetData>
    <row r="1">
      <c r="A1" s="55" t="inlineStr">
        <is>
          <t>Scoring anchors: agree these BEFORE anyone scores</t>
        </is>
      </c>
    </row>
    <row r="2">
      <c r="A2" s="5" t="inlineStr">
        <is>
          <t>One session, one unit, one impact anchor, one evidence rule, for every item you will compare.</t>
        </is>
      </c>
    </row>
    <row r="4">
      <c r="A4" s="56" t="inlineStr">
        <is>
          <t>Reach unit</t>
        </is>
      </c>
      <c r="B4" s="57" t="inlineStr">
        <is>
          <t>businesses / quarter</t>
        </is>
      </c>
      <c r="C4" s="58" t="inlineStr">
        <is>
          <t>People or events per time period. Every row uses this unit, or the scores are not comparable.</t>
        </is>
      </c>
    </row>
    <row r="5">
      <c r="A5" s="59" t="n"/>
      <c r="B5" s="59" t="n"/>
      <c r="C5" s="58" t="n"/>
    </row>
    <row r="6">
      <c r="A6" s="56" t="inlineStr">
        <is>
          <t>Impact anchor question</t>
        </is>
      </c>
      <c r="B6" s="59" t="n"/>
      <c r="C6" s="58" t="inlineStr">
        <is>
          <t>How much will this lift invoices paid on time, for each business it reaches?</t>
        </is>
      </c>
    </row>
    <row r="7">
      <c r="A7" s="56" t="inlineStr">
        <is>
          <t>Impact scale</t>
        </is>
      </c>
      <c r="B7" s="59" t="n"/>
      <c r="C7" s="58" t="n"/>
    </row>
    <row r="8">
      <c r="A8" s="59" t="inlineStr">
        <is>
          <t>massive</t>
        </is>
      </c>
      <c r="B8" s="59" t="n">
        <v>3</v>
      </c>
      <c r="C8" s="58" t="n"/>
    </row>
    <row r="9">
      <c r="A9" s="59" t="inlineStr">
        <is>
          <t>high</t>
        </is>
      </c>
      <c r="B9" s="59" t="n">
        <v>2</v>
      </c>
      <c r="C9" s="58" t="n"/>
    </row>
    <row r="10">
      <c r="A10" s="59" t="inlineStr">
        <is>
          <t>medium</t>
        </is>
      </c>
      <c r="B10" s="59" t="n">
        <v>1</v>
      </c>
      <c r="C10" s="58" t="n"/>
    </row>
    <row r="11">
      <c r="A11" s="59" t="inlineStr">
        <is>
          <t>low</t>
        </is>
      </c>
      <c r="B11" s="59" t="n">
        <v>0.5</v>
      </c>
      <c r="C11" s="58" t="n"/>
    </row>
    <row r="12">
      <c r="A12" s="59" t="inlineStr">
        <is>
          <t>minimal</t>
        </is>
      </c>
      <c r="B12" s="59" t="n">
        <v>0.25</v>
      </c>
      <c r="C12" s="58" t="n"/>
    </row>
    <row r="13">
      <c r="A13" s="59" t="n"/>
      <c r="B13" s="59" t="n"/>
      <c r="C13" s="58" t="n"/>
    </row>
    <row r="14">
      <c r="A14" s="56" t="inlineStr">
        <is>
          <t>Confidence rule</t>
        </is>
      </c>
      <c r="B14" s="59" t="n"/>
      <c r="C14" s="58" t="inlineStr">
        <is>
          <t>Adapted from the worked examples in Intercom's RICE article. Write the evidence next to the number.</t>
        </is>
      </c>
    </row>
    <row r="15">
      <c r="A15" s="59" t="inlineStr">
        <is>
          <t>high</t>
        </is>
      </c>
      <c r="B15" s="60" t="n">
        <v>1</v>
      </c>
      <c r="C15" s="58" t="inlineStr">
        <is>
          <t>Data for reach, user research for impact, an engineering estimate for effort.</t>
        </is>
      </c>
    </row>
    <row r="16">
      <c r="A16" s="59" t="inlineStr">
        <is>
          <t>medium</t>
        </is>
      </c>
      <c r="B16" s="60" t="n">
        <v>0.8</v>
      </c>
      <c r="C16" s="58" t="inlineStr">
        <is>
          <t>Data for reach and effort, but unsure about impact.</t>
        </is>
      </c>
    </row>
    <row r="17">
      <c r="A17" s="59" t="inlineStr">
        <is>
          <t>low</t>
        </is>
      </c>
      <c r="B17" s="60" t="n">
        <v>0.5</v>
      </c>
      <c r="C17" s="58" t="inlineStr">
        <is>
          <t>Reach, impact and effort could all be off.</t>
        </is>
      </c>
    </row>
    <row r="18">
      <c r="A18" s="59" t="inlineStr">
        <is>
          <t>below 50%</t>
        </is>
      </c>
      <c r="B18" s="59" t="n"/>
      <c r="C18" s="58" t="inlineStr">
        <is>
          <t>"Total moonshot" (Intercom). Do not score it yet: run a cheap test first.</t>
        </is>
      </c>
    </row>
    <row r="19">
      <c r="A19" s="59" t="n"/>
      <c r="B19" s="59" t="n"/>
      <c r="C19" s="58" t="n"/>
    </row>
    <row r="20">
      <c r="A20" s="56" t="inlineStr">
        <is>
          <t>Effort</t>
        </is>
      </c>
      <c r="B20" s="59" t="inlineStr">
        <is>
          <t>person-months</t>
        </is>
      </c>
      <c r="C20" s="58" t="inlineStr">
        <is>
          <t>Everyone involved. Whole numbers, and 0.5 for anything well under a month.</t>
        </is>
      </c>
    </row>
    <row r="21">
      <c r="A21" s="59" t="n"/>
      <c r="B21" s="59" t="n"/>
      <c r="C21" s="58" t="n"/>
    </row>
    <row r="22">
      <c r="A22" s="56" t="inlineStr">
        <is>
          <t>Formula</t>
        </is>
      </c>
      <c r="B22" s="57" t="inlineStr">
        <is>
          <t>(R × I × C) ÷ E</t>
        </is>
      </c>
      <c r="C22" s="58" t="inlineStr">
        <is>
          <t>Total impact per time worked.</t>
        </is>
      </c>
    </row>
    <row r="23">
      <c r="A23" s="59" t="n"/>
      <c r="B23" s="59" t="n"/>
      <c r="C23" s="58" t="n"/>
    </row>
    <row r="24">
      <c r="A24" s="56" t="inlineStr">
        <is>
          <t>Read the result</t>
        </is>
      </c>
      <c r="B24" s="59" t="n"/>
      <c r="C24" s="58" t="n"/>
    </row>
    <row r="25">
      <c r="A25" s="59" t="inlineStr">
        <is>
          <t>•</t>
        </is>
      </c>
      <c r="B25" s="59" t="n"/>
      <c r="C25" s="58" t="inlineStr">
        <is>
          <t>Sort, then re-evaluate: does any score look too high or too low? Check its inputs first.</t>
        </is>
      </c>
    </row>
    <row r="26">
      <c r="A26" s="59" t="inlineStr">
        <is>
          <t>•</t>
        </is>
      </c>
      <c r="B26" s="59" t="n"/>
      <c r="C26" s="58" t="inlineStr">
        <is>
          <t>Not a hard and fast rule: dependencies and table stakes can justify a different order.</t>
        </is>
      </c>
    </row>
    <row r="27">
      <c r="A27" s="59" t="inlineStr">
        <is>
          <t>•</t>
        </is>
      </c>
      <c r="B27" s="59" t="n"/>
      <c r="C27" s="58" t="inlineStr">
        <is>
          <t>RICE has no column for time (deadlines: see Cost of Delay) or for trust (guardrails).</t>
        </is>
      </c>
    </row>
    <row r="28">
      <c r="A28" s="59" t="inlineStr">
        <is>
          <t>•</t>
        </is>
      </c>
      <c r="B28" s="59" t="n"/>
      <c r="C28" s="58" t="inlineStr">
        <is>
          <t>Never compare RICE scores across teams or sessions: different units, anchors and habits.</t>
        </is>
      </c>
    </row>
    <row r="29">
      <c r="A29" s="59" t="n"/>
      <c r="B29" s="59" t="n"/>
      <c r="C29" s="58" t="n"/>
    </row>
    <row r="30">
      <c r="A30" s="56" t="inlineStr">
        <is>
          <t>Source</t>
        </is>
      </c>
      <c r="B30" s="59" t="n"/>
      <c r="C30" s="58" t="inlineStr">
        <is>
          <t>Sean McBride, "RICE: Simple prioritization for product managers", Intercom, 5 Jan 2018</t>
        </is>
      </c>
    </row>
    <row r="31">
      <c r="A31" s="59" t="n"/>
      <c r="B31" s="59" t="n"/>
      <c r="C31" s="58" t="inlineStr">
        <is>
          <t>https://www.intercom.com/blog/rice-simple-prioritization-for-product-managers/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2026-10-25T17:38:32Z</dcterms:created>
  <dcterms:modified xmlns:dcterms="http://purl.org/dc/terms/" xmlns:xsi="http://www.w3.org/2001/XMLSchema-instance" xsi:type="dcterms:W3CDTF">2026-10-25T17:38:33Z</dcterms:modified>
</cp:coreProperties>
</file>