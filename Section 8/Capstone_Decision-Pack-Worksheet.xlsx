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· Ranked quarter" sheetId="2" state="visible" r:id="rId2"/>
    <sheet xmlns:r="http://schemas.openxmlformats.org/officeDocument/2006/relationships" name="2 · Idea evaluated" sheetId="3" state="visible" r:id="rId3"/>
    <sheet xmlns:r="http://schemas.openxmlformats.org/officeDocument/2006/relationships" name="3 · Metric tree" sheetId="4" state="visible" r:id="rId4"/>
    <sheet xmlns:r="http://schemas.openxmlformats.org/officeDocument/2006/relationships" name="4 · Experiment brief" sheetId="5" state="visible" r:id="rId5"/>
    <sheet xmlns:r="http://schemas.openxmlformats.org/officeDocument/2006/relationships" name="5 · Memo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2451D1"/>
      <sz val="8"/>
    </font>
    <font>
      <name val="Inter"/>
      <b val="1"/>
      <color rgb="001B1A21"/>
      <sz val="16"/>
    </font>
    <font>
      <name val="Inter"/>
      <i val="1"/>
      <color rgb="005B5866"/>
      <sz val="9"/>
    </font>
    <font>
      <name val="Inter"/>
      <b val="1"/>
      <color rgb="001B1A21"/>
      <sz val="10"/>
    </font>
    <font>
      <name val="Inter"/>
      <color rgb="001B1A21"/>
      <sz val="10"/>
    </font>
    <font>
      <name val="Inter"/>
      <b val="1"/>
      <color rgb="00FFFFFF"/>
      <sz val="8"/>
    </font>
    <font>
      <name val="Inter"/>
      <b val="1"/>
      <color rgb="002451D1"/>
      <sz val="10"/>
    </font>
  </fonts>
  <fills count="5">
    <fill>
      <patternFill/>
    </fill>
    <fill>
      <patternFill patternType="gray125"/>
    </fill>
    <fill>
      <patternFill patternType="solid">
        <fgColor rgb="00FFFFFE"/>
      </patternFill>
    </fill>
    <fill>
      <patternFill patternType="solid">
        <fgColor rgb="00ECE8DF"/>
      </patternFill>
    </fill>
    <fill>
      <patternFill patternType="solid">
        <fgColor rgb="002451D1"/>
      </patternFill>
    </fill>
  </fills>
  <borders count="6">
    <border>
      <left/>
      <right/>
      <top/>
      <bottom/>
      <diagonal/>
    </border>
    <border>
      <left style="thin">
        <color rgb="00CFCBC2"/>
      </left>
      <right style="thin">
        <color rgb="00CFCBC2"/>
      </right>
      <top style="thin">
        <color rgb="00CFCBC2"/>
      </top>
      <bottom style="thin">
        <color rgb="00CFCBC2"/>
      </bottom>
    </border>
    <border>
      <left/>
      <right/>
      <top style="thin">
        <color rgb="00CFCBC2"/>
      </top>
      <bottom/>
      <diagonal/>
    </border>
    <border>
      <left/>
      <right style="thin">
        <color rgb="00CFCBC2"/>
      </right>
      <top style="thin">
        <color rgb="00CFCBC2"/>
      </top>
      <bottom/>
      <diagonal/>
    </border>
    <border>
      <left/>
      <right style="thin">
        <color rgb="00CFCBC2"/>
      </right>
      <top style="thin">
        <color rgb="00CFCBC2"/>
      </top>
      <bottom style="thin">
        <color rgb="00CFCBC2"/>
      </bottom>
      <diagonal/>
    </border>
    <border>
      <left/>
      <right/>
      <top style="thin">
        <color rgb="00CFCBC2"/>
      </top>
      <bottom style="thin">
        <color rgb="00CFCBC2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4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5" fillId="0" borderId="1" pivotButton="0" quotePrefix="0" xfId="0"/>
    <xf numFmtId="9" fontId="5" fillId="0" borderId="1" pivotButton="0" quotePrefix="0" xfId="0"/>
    <xf numFmtId="9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5" pivotButton="0" quotePrefix="0" xfId="0"/>
    <xf numFmtId="0" fontId="4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dxfs count="2">
    <dxf>
      <font>
        <name val="Inter"/>
        <b val="1"/>
        <color rgb="00B3261E"/>
      </font>
    </dxf>
    <dxf>
      <font>
        <name val="Inter"/>
        <b val="1"/>
        <color rgb="002451D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A21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PRODUCT MANAGEMENT MODELS &amp; MEASUREMENTS · CAPSTONE</t>
        </is>
      </c>
    </row>
    <row r="2" ht="24" customHeight="1">
      <c r="A2" s="2" t="inlineStr">
        <is>
          <t>Decision pack worksheet</t>
        </is>
      </c>
    </row>
    <row r="3">
      <c r="A3" s="3" t="inlineStr">
        <is>
          <t>Tallyrow's next quarter. White cells are yours to fill; blue headers and grey labels are fixed.</t>
        </is>
      </c>
    </row>
    <row r="5" ht="30" customHeight="1">
      <c r="A5" s="4" t="inlineStr">
        <is>
          <t>What you need open</t>
        </is>
      </c>
      <c r="B5" s="5" t="inlineStr">
        <is>
          <t>The brief, the data pack and the scorecard attached to the brief, and the Tallyrow prioritisation workbook for the model tabs.</t>
        </is>
      </c>
    </row>
    <row r="6" ht="30" customHeight="1">
      <c r="A6" s="4" t="inlineStr">
        <is>
          <t>1 · Ranked quarter</t>
        </is>
      </c>
      <c r="B6" s="5" t="inlineStr">
        <is>
          <t>Dates first, then two models, reconciled, then MoSCoW. The tallies and checks update as you type.</t>
        </is>
      </c>
    </row>
    <row r="7" ht="30" customHeight="1">
      <c r="A7" s="4" t="inlineStr">
        <is>
          <t>2 · Idea evaluated</t>
        </is>
      </c>
      <c r="B7" s="5" t="inlineStr">
        <is>
          <t>Riskiest assumption, your evidence labelled planned or unplanned, and a test card written before any result.</t>
        </is>
      </c>
    </row>
    <row r="8" ht="30" customHeight="1">
      <c r="A8" s="4" t="inlineStr">
        <is>
          <t>3 · Metric tree</t>
        </is>
      </c>
      <c r="B8" s="5" t="inlineStr">
        <is>
          <t>The input each committed item should move, and a guardrail with a baseline, a limit and an agreed response.</t>
        </is>
      </c>
    </row>
    <row r="9" ht="30" customHeight="1">
      <c r="A9" s="4" t="inlineStr">
        <is>
          <t>4 · Experiment brief</t>
        </is>
      </c>
      <c r="B9" s="5" t="inlineStr">
        <is>
          <t>The brief for your riskiest bet, or for the test in part 2.</t>
        </is>
      </c>
    </row>
    <row r="10" ht="30" customHeight="1">
      <c r="A10" s="4" t="inlineStr">
        <is>
          <t>5 · Memo</t>
        </is>
      </c>
      <c r="B10" s="5" t="inlineStr">
        <is>
          <t>One page for Maya, who reads it on her phone before the meeting.</t>
        </is>
      </c>
    </row>
    <row r="11" ht="30" customHeight="1">
      <c r="A11" s="4" t="inlineStr">
        <is>
          <t>Scorecard</t>
        </is>
      </c>
      <c r="B11" s="5" t="inlineStr">
        <is>
          <t>Ten checks. Tick a row only when you can point to the line in your pack that proves it.</t>
        </is>
      </c>
    </row>
    <row r="12" ht="30" customHeight="1">
      <c r="A12" s="4" t="inlineStr">
        <is>
          <t>Numbers</t>
        </is>
      </c>
      <c r="B12" s="5" t="inlineStr">
        <is>
          <t>Every number should trace to the data pack. If one doesn't, mark it as your estimate and say how you'd check it.</t>
        </is>
      </c>
    </row>
    <row r="14">
      <c r="A14" s="3" t="inlineStr">
        <is>
          <t>Tallyrow and every number in this pack are invented for teaching.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1D1"/>
    <outlinePr summaryBelow="1" summaryRight="1"/>
    <pageSetUpPr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30" customWidth="1" min="4" max="4"/>
    <col width="26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PART 1 · THE RANKED QUARTER</t>
        </is>
      </c>
    </row>
    <row r="2" ht="24" customHeight="1">
      <c r="A2" s="2" t="inlineStr">
        <is>
          <t>What do we commit to, and in what order?</t>
        </is>
      </c>
    </row>
    <row r="3">
      <c r="A3" s="3" t="inlineStr">
        <is>
          <t>Schedule date-bound work first. Rank the rest with one value model and one time model. Fit the timebox with MoSCoW.</t>
        </is>
      </c>
    </row>
    <row r="5">
      <c r="A5" s="4" t="inlineStr">
        <is>
          <t>Capacity (person-months)</t>
        </is>
      </c>
      <c r="B5" s="6" t="n">
        <v>10</v>
      </c>
    </row>
    <row r="7">
      <c r="A7" s="1" t="inlineStr">
        <is>
          <t>DATES FIRST</t>
        </is>
      </c>
    </row>
    <row r="8" ht="28" customHeight="1">
      <c r="A8" s="7" t="inlineStr">
        <is>
          <t>Date-bound item</t>
        </is>
      </c>
      <c r="B8" s="6" t="n"/>
      <c r="C8" s="8" t="n"/>
    </row>
    <row r="9" ht="28" customHeight="1">
      <c r="A9" s="7" t="inlineStr">
        <is>
          <t>Deadline (week, counted from this quarter's week 1)</t>
        </is>
      </c>
      <c r="B9" s="6" t="n"/>
    </row>
    <row r="10" ht="28" customHeight="1">
      <c r="A10" s="7" t="inlineStr">
        <is>
          <t>Delivery estimate (weeks)</t>
        </is>
      </c>
      <c r="B10" s="6" t="n"/>
    </row>
    <row r="11" ht="28" customHeight="1">
      <c r="A11" s="7" t="inlineStr">
        <is>
          <t>Buffer you want (weeks)</t>
        </is>
      </c>
      <c r="B11" s="6" t="n"/>
    </row>
    <row r="12">
      <c r="A12" s="9" t="inlineStr">
        <is>
          <t>Last safe start week</t>
        </is>
      </c>
      <c r="B12" s="10">
        <f>IF(OR(B9="",B10=""),"",B9-B10)</f>
        <v/>
      </c>
      <c r="C12" s="11">
        <f>IF(B12="","",IF(B12&lt;1,"✗ already late: escalate now",IF(B12&lt;=13,"✓ starts this quarter: it is in","later quarter: plan it, don't start it")))</f>
        <v/>
      </c>
    </row>
    <row r="13">
      <c r="A13" s="9" t="inlineStr">
        <is>
          <t>Start by week (with buffer)</t>
        </is>
      </c>
      <c r="B13" s="10">
        <f>IF(B12="","",B12-IF(B11="",0,B11))</f>
        <v/>
      </c>
    </row>
    <row r="15">
      <c r="A15" s="1" t="inlineStr">
        <is>
          <t>THE QUARTER</t>
        </is>
      </c>
    </row>
    <row r="16">
      <c r="A16" s="12" t="inlineStr">
        <is>
          <t>Model A (value: RICE or weighted)</t>
        </is>
      </c>
      <c r="B16" s="6" t="n"/>
      <c r="C16" s="8" t="n"/>
    </row>
    <row r="17">
      <c r="A17" s="12" t="inlineStr">
        <is>
          <t>Model B (time: CD3 or WSJF)</t>
        </is>
      </c>
      <c r="B17" s="6" t="n"/>
      <c r="C17" s="8" t="n"/>
    </row>
    <row r="19" ht="30" customHeight="1">
      <c r="A19" s="13" t="inlineStr">
        <is>
          <t>Item</t>
        </is>
      </c>
      <c r="B19" s="13" t="inlineStr">
        <is>
          <t>Slot (person-months)</t>
        </is>
      </c>
      <c r="C19" s="13" t="inlineStr">
        <is>
          <t>Value + confidence</t>
        </is>
      </c>
      <c r="D19" s="13" t="inlineStr">
        <is>
          <t>Evidence for that confidence (planned / unplanned)</t>
        </is>
      </c>
      <c r="E19" s="13" t="inlineStr">
        <is>
          <t>Weeks: CoD range and profile</t>
        </is>
      </c>
      <c r="F19" s="13" t="inlineStr">
        <is>
          <t>Model A rank</t>
        </is>
      </c>
      <c r="G19" s="13" t="inlineStr">
        <is>
          <t>Model B rank</t>
        </is>
      </c>
      <c r="H19" s="13" t="inlineStr">
        <is>
          <t>MoSCoW</t>
        </is>
      </c>
      <c r="I19" s="13" t="inlineStr">
        <is>
          <t>Why it sits there</t>
        </is>
      </c>
    </row>
    <row r="20" ht="3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3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3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 ht="3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3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3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3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5">
      <c r="A35" s="1" t="inlineStr">
        <is>
          <t>TIMEBOX</t>
        </is>
      </c>
    </row>
    <row r="36" ht="30" customHeight="1">
      <c r="A36" s="13" t="inlineStr">
        <is>
          <t>Category</t>
        </is>
      </c>
      <c r="B36" s="13" t="inlineStr">
        <is>
          <t>Person-months</t>
        </is>
      </c>
      <c r="C36" s="13" t="inlineStr">
        <is>
          <t>% of capacity</t>
        </is>
      </c>
      <c r="D36" s="13" t="inlineStr">
        <is>
          <t>Check</t>
        </is>
      </c>
    </row>
    <row r="37">
      <c r="A37" s="10" t="inlineStr">
        <is>
          <t>Must</t>
        </is>
      </c>
      <c r="B37" s="14">
        <f>SUMIF($H$20:$H$33,A37,$B$20:$B$33)</f>
        <v/>
      </c>
      <c r="C37" s="15">
        <f>IF($B$5&gt;0,B37/$B$5,"")</f>
        <v/>
      </c>
      <c r="D37" s="10">
        <f>IF(C37="","",IF(C37&lt;=0.6,"✓ within about 60%","✗ over 60%: test each Must again"))</f>
        <v/>
      </c>
    </row>
    <row r="38">
      <c r="A38" s="10" t="inlineStr">
        <is>
          <t>Should</t>
        </is>
      </c>
      <c r="B38" s="14">
        <f>SUMIF($H$20:$H$33,A38,$B$20:$B$33)</f>
        <v/>
      </c>
      <c r="C38" s="15">
        <f>IF($B$5&gt;0,B38/$B$5,"")</f>
        <v/>
      </c>
      <c r="D38" s="10">
        <f>""</f>
        <v/>
      </c>
    </row>
    <row r="39">
      <c r="A39" s="10" t="inlineStr">
        <is>
          <t>Could</t>
        </is>
      </c>
      <c r="B39" s="14">
        <f>SUMIF($H$20:$H$33,A39,$B$20:$B$33)</f>
        <v/>
      </c>
      <c r="C39" s="15">
        <f>IF($B$5&gt;0,B39/$B$5,"")</f>
        <v/>
      </c>
      <c r="D39" s="10">
        <f>IF(C39="","",IF(ABS(C39-0.2)&lt;=0.05,"✓ around 20%","around 20% is the guide"))</f>
        <v/>
      </c>
    </row>
    <row r="40">
      <c r="A40" s="10" t="inlineStr">
        <is>
          <t>Won't (this time)</t>
        </is>
      </c>
      <c r="B40" s="14">
        <f>SUMIF($H$20:$H$33,A40,$B$20:$B$33)</f>
        <v/>
      </c>
      <c r="C40" s="15">
        <f>""</f>
        <v/>
      </c>
      <c r="D40" s="10">
        <f>"not in the capacity total"</f>
        <v/>
      </c>
    </row>
    <row r="41">
      <c r="A41" s="10" t="inlineStr">
        <is>
          <t>Committed (Must + Should + Could)</t>
        </is>
      </c>
      <c r="B41" s="10">
        <f>SUM(B37:B39)</f>
        <v/>
      </c>
      <c r="C41" s="16">
        <f>IF($B$5&gt;0,B41/$B$5,"")</f>
        <v/>
      </c>
      <c r="D41" s="10">
        <f>IF(B41&gt;$B$5,"✗ over capacity","✓ fits")</f>
        <v/>
      </c>
    </row>
    <row r="42">
      <c r="A42" s="10" t="inlineStr">
        <is>
          <t>Held back (capacity − committed)</t>
        </is>
      </c>
      <c r="B42" s="10">
        <f>$B$5-B41</f>
        <v/>
      </c>
      <c r="C42" s="16">
        <f>IF($B$5&gt;0,B42/$B$5,"")</f>
        <v/>
      </c>
      <c r="D42" s="17" t="inlineStr">
        <is>
          <t>say what it is held for</t>
        </is>
      </c>
    </row>
    <row r="43">
      <c r="A43" s="14" t="inlineStr">
        <is>
          <t>Rows with a slot but no category</t>
        </is>
      </c>
      <c r="B43" s="14">
        <f>SUMPRODUCT(($B$20:$B$33&lt;&gt;"")*($H$20:$H$33=""))</f>
        <v/>
      </c>
      <c r="C43" s="18" t="n"/>
      <c r="D43" s="18" t="n"/>
    </row>
    <row r="45">
      <c r="A45" s="1" t="inlineStr">
        <is>
          <t>RECONCILIATION · one sentence per disagreement: which line of the bill each model puts on top</t>
        </is>
      </c>
    </row>
    <row r="46" ht="30" customHeight="1">
      <c r="A46" s="13" t="inlineStr">
        <is>
          <t>Item</t>
        </is>
      </c>
      <c r="B46" s="13" t="inlineStr">
        <is>
          <t>Model A says</t>
        </is>
      </c>
      <c r="C46" s="13" t="inlineStr">
        <is>
          <t>Model B says</t>
        </is>
      </c>
      <c r="D46" s="13" t="inlineStr">
        <is>
          <t>Why they disagree (the line of the bill each puts on top)</t>
        </is>
      </c>
    </row>
    <row r="47" ht="30" customHeight="1">
      <c r="A47" s="6" t="n"/>
      <c r="B47" s="6" t="n"/>
      <c r="C47" s="6" t="n"/>
      <c r="D47" s="6" t="n"/>
    </row>
    <row r="48" ht="30" customHeight="1">
      <c r="A48" s="6" t="n"/>
      <c r="B48" s="6" t="n"/>
      <c r="C48" s="6" t="n"/>
      <c r="D48" s="6" t="n"/>
    </row>
    <row r="49" ht="30" customHeight="1">
      <c r="A49" s="6" t="n"/>
      <c r="B49" s="6" t="n"/>
      <c r="C49" s="6" t="n"/>
      <c r="D49" s="6" t="n"/>
    </row>
    <row r="50" ht="30" customHeight="1">
      <c r="A50" s="6" t="n"/>
      <c r="B50" s="6" t="n"/>
      <c r="C50" s="6" t="n"/>
      <c r="D50" s="6" t="n"/>
    </row>
    <row r="51" ht="30" customHeight="1">
      <c r="A51" s="6" t="n"/>
      <c r="B51" s="6" t="n"/>
      <c r="C51" s="6" t="n"/>
      <c r="D51" s="6" t="n"/>
    </row>
  </sheetData>
  <mergeCells count="4">
    <mergeCell ref="B8:C8"/>
    <mergeCell ref="C12:E12"/>
    <mergeCell ref="B16:C16"/>
    <mergeCell ref="B17:C17"/>
  </mergeCells>
  <conditionalFormatting sqref="D37:D41">
    <cfRule type="expression" priority="1" dxfId="0">
      <formula>LEFT(D37,1)="✗"</formula>
    </cfRule>
    <cfRule type="expression" priority="2" dxfId="1">
      <formula>LEFT(D37,1)="✓"</formula>
    </cfRule>
  </conditionalFormatting>
  <conditionalFormatting sqref="C12">
    <cfRule type="expression" priority="3" dxfId="0">
      <formula>LEFT(C12,1)="✗"</formula>
    </cfRule>
  </conditionalFormatting>
  <dataValidations count="2">
    <dataValidation sqref="H20:H33" showDropDown="0" showInputMessage="0" showErrorMessage="0" allowBlank="1" errorTitle="MoSCoW" error="Pick from the list so the tallies count it." type="list">
      <formula1>"Must,Should,Could,Won't (this time)"</formula1>
    </dataValidation>
    <dataValidation sqref="B20:B3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51D1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PART 2 · ONE IDEA, EVALUATED</t>
        </is>
      </c>
    </row>
    <row r="2" ht="24" customHeight="1">
      <c r="A2" s="2" t="inlineStr">
        <is>
          <t>Is the most contested idea worth building?</t>
        </is>
      </c>
    </row>
    <row r="3">
      <c r="A3" s="3" t="inlineStr">
        <is>
          <t>Map its assumptions on importance × evidence. Label every piece of evidence. Write the test card before imagining the result.</t>
        </is>
      </c>
    </row>
    <row r="5" ht="24" customHeight="1">
      <c r="A5" s="19" t="inlineStr">
        <is>
          <t>Idea</t>
        </is>
      </c>
      <c r="B5" s="6" t="n"/>
      <c r="C5" s="6" t="n"/>
      <c r="D5" s="6" t="n"/>
      <c r="E5" s="6" t="n"/>
      <c r="F5" s="6" t="n"/>
    </row>
    <row r="7">
      <c r="A7" s="1" t="inlineStr">
        <is>
          <t>ASSUMPTIONS</t>
        </is>
      </c>
    </row>
    <row r="8" ht="30" customHeight="1">
      <c r="A8" s="13" t="inlineStr">
        <is>
          <t>Assumption</t>
        </is>
      </c>
      <c r="B8" s="13" t="inlineStr">
        <is>
          <t>Type (desirability, feasibility, viability, adaptability)</t>
        </is>
      </c>
      <c r="C8" s="13" t="inlineStr">
        <is>
          <t>Importance (high / low)</t>
        </is>
      </c>
      <c r="D8" s="13" t="inlineStr">
        <is>
          <t>Evidence (strong / weak)</t>
        </is>
      </c>
      <c r="E8" s="13" t="inlineStr">
        <is>
          <t>Top right?</t>
        </is>
      </c>
      <c r="F8" s="13" t="inlineStr">
        <is>
          <t>Why</t>
        </is>
      </c>
    </row>
    <row r="9" ht="30" customHeight="1">
      <c r="A9" s="6" t="n"/>
      <c r="B9" s="6" t="n"/>
      <c r="C9" s="6" t="n"/>
      <c r="D9" s="6" t="n"/>
      <c r="E9" s="6">
        <f>IF(AND(LOWER(C9)="high",LOWER(D9)="weak"),"✓ test this first","")</f>
        <v/>
      </c>
      <c r="F9" s="6" t="n"/>
    </row>
    <row r="10" ht="30" customHeight="1">
      <c r="A10" s="6" t="n"/>
      <c r="B10" s="6" t="n"/>
      <c r="C10" s="6" t="n"/>
      <c r="D10" s="6" t="n"/>
      <c r="E10" s="6">
        <f>IF(AND(LOWER(C10)="high",LOWER(D10)="weak"),"✓ test this first","")</f>
        <v/>
      </c>
      <c r="F10" s="6" t="n"/>
    </row>
    <row r="11" ht="30" customHeight="1">
      <c r="A11" s="6" t="n"/>
      <c r="B11" s="6" t="n"/>
      <c r="C11" s="6" t="n"/>
      <c r="D11" s="6" t="n"/>
      <c r="E11" s="6">
        <f>IF(AND(LOWER(C11)="high",LOWER(D11)="weak"),"✓ test this first","")</f>
        <v/>
      </c>
      <c r="F11" s="6" t="n"/>
    </row>
    <row r="12" ht="30" customHeight="1">
      <c r="A12" s="6" t="n"/>
      <c r="B12" s="6" t="n"/>
      <c r="C12" s="6" t="n"/>
      <c r="D12" s="6" t="n"/>
      <c r="E12" s="6">
        <f>IF(AND(LOWER(C12)="high",LOWER(D12)="weak"),"✓ test this first","")</f>
        <v/>
      </c>
      <c r="F12" s="6" t="n"/>
    </row>
    <row r="13" ht="30" customHeight="1">
      <c r="A13" s="6" t="n"/>
      <c r="B13" s="6" t="n"/>
      <c r="C13" s="6" t="n"/>
      <c r="D13" s="6" t="n"/>
      <c r="E13" s="6">
        <f>IF(AND(LOWER(C13)="high",LOWER(D13)="weak"),"✓ test this first","")</f>
        <v/>
      </c>
      <c r="F13" s="6" t="n"/>
    </row>
    <row r="14" ht="30" customHeight="1">
      <c r="A14" s="6" t="n"/>
      <c r="B14" s="6" t="n"/>
      <c r="C14" s="6" t="n"/>
      <c r="D14" s="6" t="n"/>
      <c r="E14" s="6">
        <f>IF(AND(LOWER(C14)="high",LOWER(D14)="weak"),"✓ test this first","")</f>
        <v/>
      </c>
      <c r="F14" s="6" t="n"/>
    </row>
    <row r="16">
      <c r="A16" s="1" t="inlineStr">
        <is>
          <t>EVIDENCE SO FAR</t>
        </is>
      </c>
    </row>
    <row r="17" ht="30" customHeight="1">
      <c r="A17" s="13" t="inlineStr">
        <is>
          <t>Evidence</t>
        </is>
      </c>
      <c r="B17" s="13" t="inlineStr">
        <is>
          <t>Planned or unplanned</t>
        </is>
      </c>
      <c r="C17" s="13" t="inlineStr">
        <is>
          <t>Weaknesses (volunteers? no control? found after the fact?)</t>
        </is>
      </c>
      <c r="D17" s="13" t="inlineStr"/>
      <c r="E17" s="13" t="inlineStr"/>
      <c r="F17" s="13" t="inlineStr">
        <is>
          <t>What it can and can't tell you</t>
        </is>
      </c>
    </row>
    <row r="18" ht="30" customHeight="1">
      <c r="A18" s="6" t="n"/>
      <c r="B18" s="6" t="n"/>
      <c r="C18" s="6" t="n"/>
      <c r="D18" s="20" t="n"/>
      <c r="E18" s="8" t="n"/>
      <c r="F18" s="6" t="n"/>
    </row>
    <row r="19" ht="30" customHeight="1">
      <c r="A19" s="6" t="n"/>
      <c r="B19" s="6" t="n"/>
      <c r="C19" s="6" t="n"/>
      <c r="D19" s="20" t="n"/>
      <c r="E19" s="8" t="n"/>
      <c r="F19" s="6" t="n"/>
    </row>
    <row r="20" ht="30" customHeight="1">
      <c r="A20" s="6" t="n"/>
      <c r="B20" s="6" t="n"/>
      <c r="C20" s="6" t="n"/>
      <c r="D20" s="20" t="n"/>
      <c r="E20" s="8" t="n"/>
      <c r="F20" s="6" t="n"/>
    </row>
    <row r="21" ht="30" customHeight="1">
      <c r="A21" s="6" t="n"/>
      <c r="B21" s="6" t="n"/>
      <c r="C21" s="6" t="n"/>
      <c r="D21" s="20" t="n"/>
      <c r="E21" s="8" t="n"/>
      <c r="F21" s="6" t="n"/>
    </row>
    <row r="22" ht="30" customHeight="1">
      <c r="A22" s="6" t="n"/>
      <c r="B22" s="6" t="n"/>
      <c r="C22" s="6" t="n"/>
      <c r="D22" s="20" t="n"/>
      <c r="E22" s="8" t="n"/>
      <c r="F22" s="6" t="n"/>
    </row>
    <row r="24">
      <c r="A24" s="1" t="inlineStr">
        <is>
          <t>TEST CARD · fill in before any result exists</t>
        </is>
      </c>
    </row>
    <row r="25" ht="34" customHeight="1">
      <c r="A25" s="19" t="inlineStr">
        <is>
          <t>We believe…</t>
        </is>
      </c>
      <c r="B25" s="6" t="n"/>
      <c r="C25" s="6" t="n"/>
      <c r="D25" s="6" t="n"/>
      <c r="E25" s="6" t="n"/>
      <c r="F25" s="6" t="n"/>
    </row>
    <row r="26" ht="34" customHeight="1">
      <c r="A26" s="19" t="inlineStr">
        <is>
          <t>To check, we will…</t>
        </is>
      </c>
      <c r="B26" s="6" t="n"/>
      <c r="C26" s="6" t="n"/>
      <c r="D26" s="6" t="n"/>
      <c r="E26" s="6" t="n"/>
      <c r="F26" s="6" t="n"/>
    </row>
    <row r="27" ht="34" customHeight="1">
      <c r="A27" s="19" t="inlineStr">
        <is>
          <t>We will measure…</t>
        </is>
      </c>
      <c r="B27" s="6" t="n"/>
      <c r="C27" s="6" t="n"/>
      <c r="D27" s="6" t="n"/>
      <c r="E27" s="6" t="n"/>
      <c r="F27" s="6" t="n"/>
    </row>
    <row r="28" ht="34" customHeight="1">
      <c r="A28" s="19" t="inlineStr">
        <is>
          <t>We are right if…</t>
        </is>
      </c>
      <c r="B28" s="6" t="n"/>
      <c r="C28" s="6" t="n"/>
      <c r="D28" s="6" t="n"/>
      <c r="E28" s="6" t="n"/>
      <c r="F28" s="6" t="n"/>
    </row>
    <row r="29" ht="34" customHeight="1">
      <c r="A29" s="19" t="inlineStr">
        <is>
          <t>Agreed with, and when</t>
        </is>
      </c>
      <c r="B29" s="6" t="n"/>
      <c r="C29" s="6" t="n"/>
      <c r="D29" s="6" t="n"/>
      <c r="E29" s="6" t="n"/>
      <c r="F29" s="6" t="n"/>
    </row>
  </sheetData>
  <mergeCells count="11">
    <mergeCell ref="B29:F29"/>
    <mergeCell ref="C19:E19"/>
    <mergeCell ref="B25:F25"/>
    <mergeCell ref="B28:F28"/>
    <mergeCell ref="C22:E22"/>
    <mergeCell ref="B5:F5"/>
    <mergeCell ref="C18:E18"/>
    <mergeCell ref="C21:E21"/>
    <mergeCell ref="C20:E20"/>
    <mergeCell ref="B26:F26"/>
    <mergeCell ref="B27:F27"/>
  </mergeCells>
  <dataValidations count="3">
    <dataValidation sqref="C9:C14" showDropDown="0" showInputMessage="0" showErrorMessage="0" allowBlank="1" type="list">
      <formula1>"high,low"</formula1>
    </dataValidation>
    <dataValidation sqref="D9:D14" showDropDown="0" showInputMessage="0" showErrorMessage="0" allowBlank="1" type="list">
      <formula1>"strong,weak"</formula1>
    </dataValidation>
    <dataValidation sqref="B18:B22" showDropDown="0" showInputMessage="0" showErrorMessage="0" allowBlank="1" type="list">
      <formula1>"planned,unplanned"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51D1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14" customWidth="1" min="4" max="4"/>
    <col width="14" customWidth="1" min="5" max="5"/>
    <col width="34" customWidth="1" min="6" max="6"/>
    <col width="18" customWidth="1" min="7" max="7"/>
  </cols>
  <sheetData>
    <row r="1">
      <c r="A1" s="1" t="inlineStr">
        <is>
          <t>PART 3 · THE METRIC TREE</t>
        </is>
      </c>
    </row>
    <row r="2" ht="24" customHeight="1">
      <c r="A2" s="2" t="inlineStr">
        <is>
          <t>How will we know the quarter worked?</t>
        </is>
      </c>
    </row>
    <row r="3">
      <c r="A3" s="3" t="inlineStr">
        <is>
          <t>Start from the North Star, invoices paid on time per week. Go one level down on the branch your quarter should move.</t>
        </is>
      </c>
    </row>
    <row r="5">
      <c r="A5" s="4" t="inlineStr">
        <is>
          <t>North Star</t>
        </is>
      </c>
      <c r="B5" s="12" t="inlineStr">
        <is>
          <t>Invoices paid on time per week</t>
        </is>
      </c>
    </row>
    <row r="6">
      <c r="A6" s="4" t="inlineStr">
        <is>
          <t>First level</t>
        </is>
      </c>
      <c r="B6" s="12" t="inlineStr">
        <is>
          <t>Sending businesses × invoices per business × on-time rate</t>
        </is>
      </c>
    </row>
    <row r="7" ht="28" customHeight="1">
      <c r="A7" s="19" t="inlineStr">
        <is>
          <t>The branch this quarter should move</t>
        </is>
      </c>
      <c r="B7" s="6" t="n"/>
      <c r="C7" s="6" t="n"/>
      <c r="D7" s="6" t="n"/>
      <c r="E7" s="6" t="n"/>
      <c r="F7" s="6" t="n"/>
    </row>
    <row r="8" ht="28" customHeight="1">
      <c r="A8" s="19" t="inlineStr">
        <is>
          <t>One level down on that branch</t>
        </is>
      </c>
      <c r="B8" s="6" t="n"/>
      <c r="C8" s="6" t="n"/>
      <c r="D8" s="6" t="n"/>
      <c r="E8" s="6" t="n"/>
      <c r="F8" s="6" t="n"/>
    </row>
    <row r="10" ht="30" customHeight="1">
      <c r="A10" s="13" t="inlineStr">
        <is>
          <t>Committed item</t>
        </is>
      </c>
      <c r="B10" s="13" t="inlineStr">
        <is>
          <t>Input it should move</t>
        </is>
      </c>
      <c r="C10" s="13" t="inlineStr">
        <is>
          <t>Guardrail</t>
        </is>
      </c>
      <c r="D10" s="13" t="inlineStr">
        <is>
          <t>Baseline</t>
        </is>
      </c>
      <c r="E10" s="13" t="inlineStr">
        <is>
          <t>Limit</t>
        </is>
      </c>
      <c r="F10" s="13" t="inlineStr">
        <is>
          <t>Agreed response if it trips</t>
        </is>
      </c>
      <c r="G10" s="13" t="inlineStr">
        <is>
          <t>Owner</t>
        </is>
      </c>
    </row>
    <row r="11" ht="30" customHeight="1">
      <c r="A11" s="6" t="n"/>
      <c r="B11" s="6" t="n"/>
      <c r="C11" s="6" t="n"/>
      <c r="D11" s="6" t="n"/>
      <c r="E11" s="6" t="n"/>
      <c r="F11" s="6" t="n"/>
      <c r="G11" s="6" t="n"/>
    </row>
    <row r="12" ht="30" customHeight="1">
      <c r="A12" s="6" t="n"/>
      <c r="B12" s="6" t="n"/>
      <c r="C12" s="6" t="n"/>
      <c r="D12" s="6" t="n"/>
      <c r="E12" s="6" t="n"/>
      <c r="F12" s="6" t="n"/>
      <c r="G12" s="6" t="n"/>
    </row>
    <row r="13" ht="30" customHeight="1">
      <c r="A13" s="6" t="n"/>
      <c r="B13" s="6" t="n"/>
      <c r="C13" s="6" t="n"/>
      <c r="D13" s="6" t="n"/>
      <c r="E13" s="6" t="n"/>
      <c r="F13" s="6" t="n"/>
      <c r="G13" s="6" t="n"/>
    </row>
    <row r="14" ht="30" customHeight="1">
      <c r="A14" s="6" t="n"/>
      <c r="B14" s="6" t="n"/>
      <c r="C14" s="6" t="n"/>
      <c r="D14" s="6" t="n"/>
      <c r="E14" s="6" t="n"/>
      <c r="F14" s="6" t="n"/>
      <c r="G14" s="6" t="n"/>
    </row>
    <row r="15" ht="30" customHeight="1">
      <c r="A15" s="6" t="n"/>
      <c r="B15" s="6" t="n"/>
      <c r="C15" s="6" t="n"/>
      <c r="D15" s="6" t="n"/>
      <c r="E15" s="6" t="n"/>
      <c r="F15" s="6" t="n"/>
      <c r="G15" s="6" t="n"/>
    </row>
    <row r="16" ht="30" customHeight="1">
      <c r="A16" s="6" t="n"/>
      <c r="B16" s="6" t="n"/>
      <c r="C16" s="6" t="n"/>
      <c r="D16" s="6" t="n"/>
      <c r="E16" s="6" t="n"/>
      <c r="F16" s="6" t="n"/>
      <c r="G16" s="6" t="n"/>
    </row>
    <row r="17" ht="30" customHeight="1">
      <c r="A17" s="6" t="n"/>
      <c r="B17" s="6" t="n"/>
      <c r="C17" s="6" t="n"/>
      <c r="D17" s="6" t="n"/>
      <c r="E17" s="6" t="n"/>
      <c r="F17" s="6" t="n"/>
      <c r="G17" s="6" t="n"/>
    </row>
    <row r="18" ht="30" customHeight="1">
      <c r="A18" s="6" t="n"/>
      <c r="B18" s="6" t="n"/>
      <c r="C18" s="6" t="n"/>
      <c r="D18" s="6" t="n"/>
      <c r="E18" s="6" t="n"/>
      <c r="F18" s="6" t="n"/>
      <c r="G18" s="6" t="n"/>
    </row>
  </sheetData>
  <mergeCells count="2">
    <mergeCell ref="B7:F7"/>
    <mergeCell ref="B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51D1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8" max="8"/>
  </cols>
  <sheetData>
    <row r="1">
      <c r="A1" s="1" t="inlineStr">
        <is>
          <t>PART 4 · THE EXPERIMENT BRIEF</t>
        </is>
      </c>
    </row>
    <row r="2" ht="24" customHeight="1">
      <c r="A2" s="2" t="inlineStr">
        <is>
          <t>How do we test the riskiest bet honestly?</t>
        </is>
      </c>
    </row>
    <row r="3">
      <c r="A3" s="3" t="inlineStr">
        <is>
          <t>Write it for the riskiest bet you are making, or for the test in part 2. Agree it before launch.</t>
        </is>
      </c>
    </row>
    <row r="5" ht="34" customHeight="1">
      <c r="A5" s="19" t="inlineStr">
        <is>
          <t>Hypothesis (if… then… because…)</t>
        </is>
      </c>
      <c r="B5" s="6" t="n"/>
      <c r="C5" s="6" t="n"/>
      <c r="D5" s="6" t="n"/>
      <c r="E5" s="6" t="n"/>
      <c r="F5" s="6" t="n"/>
    </row>
    <row r="6" ht="34" customHeight="1">
      <c r="A6" s="19" t="inlineStr">
        <is>
          <t>OEC</t>
        </is>
      </c>
      <c r="B6" s="6" t="n"/>
      <c r="C6" s="6" t="n"/>
      <c r="D6" s="6" t="n"/>
      <c r="E6" s="6" t="n"/>
      <c r="F6" s="6" t="n"/>
    </row>
    <row r="7" ht="34" customHeight="1">
      <c r="A7" s="19" t="inlineStr">
        <is>
          <t>Guardrails</t>
        </is>
      </c>
      <c r="B7" s="6" t="n"/>
      <c r="C7" s="6" t="n"/>
      <c r="D7" s="6" t="n"/>
      <c r="E7" s="6" t="n"/>
      <c r="F7" s="6" t="n"/>
    </row>
    <row r="8" ht="34" customHeight="1">
      <c r="A8" s="19" t="inlineStr">
        <is>
          <t>Unit of randomisation, and why</t>
        </is>
      </c>
      <c r="B8" s="6" t="n"/>
      <c r="C8" s="6" t="n"/>
      <c r="D8" s="6" t="n"/>
      <c r="E8" s="6" t="n"/>
      <c r="F8" s="6" t="n"/>
    </row>
    <row r="9" ht="34" customHeight="1">
      <c r="A9" s="19" t="inlineStr">
        <is>
          <t>Who is eligible</t>
        </is>
      </c>
      <c r="B9" s="6" t="n"/>
      <c r="C9" s="6" t="n"/>
      <c r="D9" s="6" t="n"/>
      <c r="E9" s="6" t="n"/>
      <c r="F9" s="6" t="n"/>
    </row>
    <row r="10" ht="34" customHeight="1">
      <c r="A10" s="19" t="inlineStr">
        <is>
          <t>Baseline</t>
        </is>
      </c>
      <c r="B10" s="6" t="n"/>
      <c r="C10" s="6" t="n"/>
      <c r="D10" s="6" t="n"/>
      <c r="E10" s="6" t="n"/>
      <c r="F10" s="6" t="n"/>
    </row>
    <row r="11" ht="34" customHeight="1">
      <c r="A11" s="19" t="inlineStr">
        <is>
          <t>Minimum detectable effect</t>
        </is>
      </c>
      <c r="B11" s="6" t="n"/>
      <c r="C11" s="6" t="n"/>
      <c r="D11" s="6" t="n"/>
      <c r="E11" s="6" t="n"/>
      <c r="F11" s="6" t="n"/>
    </row>
    <row r="12" ht="34" customHeight="1">
      <c r="A12" s="19" t="inlineStr">
        <is>
          <t>Significance and power</t>
        </is>
      </c>
      <c r="B12" s="6" t="n"/>
      <c r="C12" s="6" t="n"/>
      <c r="D12" s="6" t="n"/>
      <c r="E12" s="6" t="n"/>
      <c r="F12" s="6" t="n"/>
    </row>
    <row r="13" ht="34" customHeight="1">
      <c r="A13" s="19" t="inlineStr">
        <is>
          <t>Sample needed per variant (and the calculator you used)</t>
        </is>
      </c>
      <c r="B13" s="6" t="n"/>
      <c r="C13" s="6" t="n"/>
      <c r="D13" s="6" t="n"/>
      <c r="E13" s="6" t="n"/>
      <c r="F13" s="6" t="n"/>
    </row>
    <row r="14" ht="34" customHeight="1">
      <c r="A14" s="19" t="inlineStr">
        <is>
          <t>Sample you have per variant</t>
        </is>
      </c>
      <c r="B14" s="6" t="n"/>
      <c r="C14" s="6" t="n"/>
      <c r="D14" s="6" t="n"/>
      <c r="E14" s="6" t="n"/>
      <c r="F14" s="6" t="n"/>
      <c r="H14" s="4" t="inlineStr">
        <is>
          <t>Enough?</t>
        </is>
      </c>
    </row>
    <row r="15" ht="34" customHeight="1">
      <c r="A15" s="19" t="inlineStr">
        <is>
          <t>Outcome window</t>
        </is>
      </c>
      <c r="B15" s="6" t="n"/>
      <c r="C15" s="6" t="n"/>
      <c r="D15" s="6" t="n"/>
      <c r="E15" s="6" t="n"/>
      <c r="F15" s="6" t="n"/>
      <c r="H15" s="11">
        <f>IFERROR(IF(OR(B13="",B14=""),"",IF(VALUE(B14)&gt;=VALUE(B13),"✓ enough for that effect","✗ too few: raise the effect you can detect, or pick another test")),"type plain numbers in both")</f>
        <v/>
      </c>
    </row>
    <row r="16" ht="34" customHeight="1">
      <c r="A16" s="19" t="inlineStr">
        <is>
          <t>Decision rule: ship if…</t>
        </is>
      </c>
      <c r="B16" s="6" t="n"/>
      <c r="C16" s="6" t="n"/>
      <c r="D16" s="6" t="n"/>
      <c r="E16" s="6" t="n"/>
      <c r="F16" s="6" t="n"/>
    </row>
    <row r="17" ht="34" customHeight="1">
      <c r="A17" s="19" t="inlineStr">
        <is>
          <t>Stop if…</t>
        </is>
      </c>
      <c r="B17" s="6" t="n"/>
      <c r="C17" s="6" t="n"/>
      <c r="D17" s="6" t="n"/>
      <c r="E17" s="6" t="n"/>
      <c r="F17" s="6" t="n"/>
    </row>
    <row r="18" ht="34" customHeight="1">
      <c r="A18" s="19" t="inlineStr">
        <is>
          <t>Iterate if…</t>
        </is>
      </c>
      <c r="B18" s="6" t="n"/>
      <c r="C18" s="6" t="n"/>
      <c r="D18" s="6" t="n"/>
      <c r="E18" s="6" t="n"/>
      <c r="F18" s="6" t="n"/>
    </row>
    <row r="19" ht="34" customHeight="1">
      <c r="A19" s="19" t="inlineStr">
        <is>
          <t>If an A/B test is the wrong tool here: which alternative, and why</t>
        </is>
      </c>
      <c r="B19" s="6" t="n"/>
      <c r="C19" s="6" t="n"/>
      <c r="D19" s="6" t="n"/>
      <c r="E19" s="6" t="n"/>
      <c r="F19" s="6" t="n"/>
    </row>
    <row r="20" ht="34" customHeight="1">
      <c r="A20" s="19" t="inlineStr">
        <is>
          <t>Agreed with, and when</t>
        </is>
      </c>
      <c r="B20" s="6" t="n"/>
      <c r="C20" s="6" t="n"/>
      <c r="D20" s="6" t="n"/>
      <c r="E20" s="6" t="n"/>
      <c r="F20" s="6" t="n"/>
    </row>
  </sheetData>
  <mergeCells count="16">
    <mergeCell ref="B12:F12"/>
    <mergeCell ref="B7:F7"/>
    <mergeCell ref="B6:F6"/>
    <mergeCell ref="B16:F16"/>
    <mergeCell ref="B20:F20"/>
    <mergeCell ref="B15:F15"/>
    <mergeCell ref="B10:F10"/>
    <mergeCell ref="B11:F11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51D1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PART 5 · THE ONE-PAGE MEMO</t>
        </is>
      </c>
    </row>
    <row r="2" ht="24" customHeight="1">
      <c r="A2" s="2" t="inlineStr">
        <is>
          <t>For Maya, who will read it on her phone before the meeting</t>
        </is>
      </c>
    </row>
    <row r="3">
      <c r="A3" s="3" t="inlineStr">
        <is>
          <t>Lead with inputs, not scores. Put the trade-off in plain view.</t>
        </is>
      </c>
    </row>
    <row r="5" ht="36" customHeight="1">
      <c r="A5" s="19" t="inlineStr">
        <is>
          <t>The call · Must</t>
        </is>
      </c>
      <c r="B5" s="6" t="n"/>
      <c r="C5" s="6" t="n"/>
      <c r="D5" s="6" t="n"/>
      <c r="E5" s="6" t="n"/>
      <c r="F5" s="6" t="n"/>
    </row>
    <row r="6" ht="36" customHeight="1">
      <c r="A6" s="19" t="inlineStr">
        <is>
          <t>Should</t>
        </is>
      </c>
      <c r="B6" s="6" t="n"/>
      <c r="C6" s="6" t="n"/>
      <c r="D6" s="6" t="n"/>
      <c r="E6" s="6" t="n"/>
      <c r="F6" s="6" t="n"/>
    </row>
    <row r="7" ht="36" customHeight="1">
      <c r="A7" s="19" t="inlineStr">
        <is>
          <t>Could</t>
        </is>
      </c>
      <c r="B7" s="6" t="n"/>
      <c r="C7" s="6" t="n"/>
      <c r="D7" s="6" t="n"/>
      <c r="E7" s="6" t="n"/>
      <c r="F7" s="6" t="n"/>
    </row>
    <row r="8" ht="36" customHeight="1">
      <c r="A8" s="19" t="inlineStr">
        <is>
          <t>Won't (this time)</t>
        </is>
      </c>
      <c r="B8" s="6" t="n"/>
      <c r="C8" s="6" t="n"/>
      <c r="D8" s="6" t="n"/>
      <c r="E8" s="6" t="n"/>
      <c r="F8" s="6" t="n"/>
    </row>
    <row r="9" ht="36" customHeight="1">
      <c r="A9" s="19" t="inlineStr">
        <is>
          <t>The contested item · its inputs</t>
        </is>
      </c>
      <c r="B9" s="6" t="n"/>
      <c r="C9" s="6" t="n"/>
      <c r="D9" s="6" t="n"/>
      <c r="E9" s="6" t="n"/>
      <c r="F9" s="6" t="n"/>
    </row>
    <row r="10" ht="36" customHeight="1">
      <c r="A10" s="19" t="inlineStr">
        <is>
          <t>The line of the bill they price</t>
        </is>
      </c>
      <c r="B10" s="6" t="n"/>
      <c r="C10" s="6" t="n"/>
      <c r="D10" s="6" t="n"/>
      <c r="E10" s="6" t="n"/>
      <c r="F10" s="6" t="n"/>
    </row>
    <row r="11" ht="36" customHeight="1">
      <c r="A11" s="19" t="inlineStr">
        <is>
          <t>The cheapest test that would change them</t>
        </is>
      </c>
      <c r="B11" s="6" t="n"/>
      <c r="C11" s="6" t="n"/>
      <c r="D11" s="6" t="n"/>
      <c r="E11" s="6" t="n"/>
      <c r="F11" s="6" t="n"/>
    </row>
    <row r="12" ht="36" customHeight="1">
      <c r="A12" s="19" t="inlineStr">
        <is>
          <t>When the answer arrives</t>
        </is>
      </c>
      <c r="B12" s="6" t="n"/>
      <c r="C12" s="6" t="n"/>
      <c r="D12" s="6" t="n"/>
      <c r="E12" s="6" t="n"/>
      <c r="F12" s="6" t="n"/>
    </row>
    <row r="13" ht="36" customHeight="1">
      <c r="A13" s="19" t="inlineStr">
        <is>
          <t>What it costs to do it her way · what drops out</t>
        </is>
      </c>
      <c r="B13" s="6" t="n"/>
      <c r="C13" s="6" t="n"/>
      <c r="D13" s="6" t="n"/>
      <c r="E13" s="6" t="n"/>
      <c r="F13" s="6" t="n"/>
    </row>
    <row r="14" ht="36" customHeight="1">
      <c r="A14" s="19" t="inlineStr">
        <is>
          <t>What that risks</t>
        </is>
      </c>
      <c r="B14" s="6" t="n"/>
      <c r="C14" s="6" t="n"/>
      <c r="D14" s="6" t="n"/>
      <c r="E14" s="6" t="n"/>
      <c r="F14" s="6" t="n"/>
    </row>
    <row r="15" ht="36" customHeight="1">
      <c r="A15" s="19" t="inlineStr">
        <is>
          <t>How you'll know it worked · inputs</t>
        </is>
      </c>
      <c r="B15" s="6" t="n"/>
      <c r="C15" s="6" t="n"/>
      <c r="D15" s="6" t="n"/>
      <c r="E15" s="6" t="n"/>
      <c r="F15" s="6" t="n"/>
    </row>
    <row r="16" ht="36" customHeight="1">
      <c r="A16" s="19" t="inlineStr">
        <is>
          <t>Guardrails</t>
        </is>
      </c>
      <c r="B16" s="6" t="n"/>
      <c r="C16" s="6" t="n"/>
      <c r="D16" s="6" t="n"/>
      <c r="E16" s="6" t="n"/>
      <c r="F16" s="6" t="n"/>
    </row>
    <row r="17" ht="36" customHeight="1">
      <c r="A17" s="19" t="inlineStr">
        <is>
          <t>Date of the first readout</t>
        </is>
      </c>
      <c r="B17" s="6" t="n"/>
      <c r="C17" s="6" t="n"/>
      <c r="D17" s="6" t="n"/>
      <c r="E17" s="6" t="n"/>
      <c r="F17" s="6" t="n"/>
    </row>
  </sheetData>
  <mergeCells count="13">
    <mergeCell ref="B12:F12"/>
    <mergeCell ref="B7:F7"/>
    <mergeCell ref="B6:F6"/>
    <mergeCell ref="B16:F16"/>
    <mergeCell ref="B15:F15"/>
    <mergeCell ref="B10:F10"/>
    <mergeCell ref="B11:F11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451D1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SCORECARD</t>
        </is>
      </c>
    </row>
    <row r="2" ht="24" customHeight="1">
      <c r="A2" s="2" t="inlineStr">
        <is>
          <t>Check your pack before the defence</t>
        </is>
      </c>
    </row>
    <row r="3">
      <c r="A3" s="3" t="inlineStr">
        <is>
          <t>Tick a row only when you can point to the line that proves it.</t>
        </is>
      </c>
    </row>
    <row r="5" ht="30" customHeight="1">
      <c r="A5" s="13" t="inlineStr">
        <is>
          <t>#</t>
        </is>
      </c>
      <c r="B5" s="13" t="inlineStr">
        <is>
          <t>Check</t>
        </is>
      </c>
      <c r="C5" s="13" t="inlineStr">
        <is>
          <t>✓</t>
        </is>
      </c>
      <c r="D5" s="13" t="inlineStr">
        <is>
          <t>Where in your pack</t>
        </is>
      </c>
    </row>
    <row r="6" ht="24" customHeight="1">
      <c r="A6" s="4" t="n">
        <v>1</v>
      </c>
      <c r="B6" s="5" t="inlineStr">
        <is>
          <t>Every date-bound item has a last safe start week, and the plan respects it</t>
        </is>
      </c>
      <c r="C6" s="6" t="n"/>
      <c r="D6" s="6" t="n"/>
    </row>
    <row r="7" ht="24" customHeight="1">
      <c r="A7" s="4" t="n">
        <v>2</v>
      </c>
      <c r="B7" s="5" t="inlineStr">
        <is>
          <t>Two models used; every disagreement explained by the line of the bill each puts on top</t>
        </is>
      </c>
      <c r="C7" s="6" t="n"/>
      <c r="D7" s="6" t="n"/>
    </row>
    <row r="8" ht="24" customHeight="1">
      <c r="A8" s="4" t="n">
        <v>3</v>
      </c>
      <c r="B8" s="5" t="inlineStr">
        <is>
          <t>Musts at or under about 60% of capacity; Won't items named "this time"</t>
        </is>
      </c>
      <c r="C8" s="6" t="n"/>
      <c r="D8" s="6" t="n"/>
    </row>
    <row r="9" ht="24" customHeight="1">
      <c r="A9" s="4" t="n">
        <v>4</v>
      </c>
      <c r="B9" s="5" t="inlineStr">
        <is>
          <t>Every confidence value has its evidence written next to it</t>
        </is>
      </c>
      <c r="C9" s="6" t="n"/>
      <c r="D9" s="6" t="n"/>
    </row>
    <row r="10" ht="24" customHeight="1">
      <c r="A10" s="4" t="n">
        <v>5</v>
      </c>
      <c r="B10" s="5" t="inlineStr">
        <is>
          <t>Unplanned evidence (for example a segment found after the fact) is treated as a hypothesis</t>
        </is>
      </c>
      <c r="C10" s="6" t="n"/>
      <c r="D10" s="6" t="n"/>
    </row>
    <row r="11" ht="24" customHeight="1">
      <c r="A11" s="4" t="n">
        <v>6</v>
      </c>
      <c r="B11" s="5" t="inlineStr">
        <is>
          <t>The test card's pass criterion was written before any result</t>
        </is>
      </c>
      <c r="C11" s="6" t="n"/>
      <c r="D11" s="6" t="n"/>
    </row>
    <row r="12" ht="24" customHeight="1">
      <c r="A12" s="4" t="n">
        <v>7</v>
      </c>
      <c r="B12" s="5" t="inlineStr">
        <is>
          <t>Every committed item has an input metric and a guardrail with a limit and an agreed response</t>
        </is>
      </c>
      <c r="C12" s="6" t="n"/>
      <c r="D12" s="6" t="n"/>
    </row>
    <row r="13" ht="24" customHeight="1">
      <c r="A13" s="4" t="n">
        <v>8</v>
      </c>
      <c r="B13" s="5" t="inlineStr">
        <is>
          <t>The experiment brief names its unit of randomisation and outcome window</t>
        </is>
      </c>
      <c r="C13" s="6" t="n"/>
      <c r="D13" s="6" t="n"/>
    </row>
    <row r="14" ht="24" customHeight="1">
      <c r="A14" s="4" t="n">
        <v>9</v>
      </c>
      <c r="B14" s="5" t="inlineStr">
        <is>
          <t>The memo leads with inputs, not scores, and states the cost of the alternative</t>
        </is>
      </c>
      <c r="C14" s="6" t="n"/>
      <c r="D14" s="6" t="n"/>
    </row>
    <row r="15" ht="24" customHeight="1">
      <c r="A15" s="4" t="n">
        <v>10</v>
      </c>
      <c r="B15" s="5" t="inlineStr">
        <is>
          <t>Nothing in the pack relies on a number you can't trace to the data pack</t>
        </is>
      </c>
      <c r="C15" s="6" t="n"/>
      <c r="D15" s="6" t="n"/>
    </row>
    <row r="17">
      <c r="B17" s="21" t="inlineStr">
        <is>
          <t>Ticked</t>
        </is>
      </c>
      <c r="C17" s="4">
        <f>COUNTIF(C6:C15,"✓")&amp;" / 10"</f>
        <v/>
      </c>
    </row>
    <row r="18">
      <c r="B18" s="22">
        <f>IF(COUNTIF(C6:C15,"✓")=10,"Every row ticked. Watch the defence and compare your pack with the worked answer.","")</f>
        <v/>
      </c>
    </row>
  </sheetData>
  <dataValidations count="1">
    <dataValidation sqref="C6:C15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2026-10-25T12:12:38Z</dcterms:created>
  <dcterms:modified xmlns:dcterms="http://purl.org/dc/terms/" xmlns:xsi="http://www.w3.org/2001/XMLSchema-instance" xsi:type="dcterms:W3CDTF">2026-10-25T12:12:38Z</dcterms:modified>
</cp:coreProperties>
</file>