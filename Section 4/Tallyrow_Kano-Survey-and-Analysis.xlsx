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o · Tallyrow" sheetId="1" state="visible" r:id="rId1"/>
    <sheet xmlns:r="http://schemas.openxmlformats.org/officeDocument/2006/relationships" name="Kano · your features" sheetId="2" state="visible" r:id="rId2"/>
    <sheet xmlns:r="http://schemas.openxmlformats.org/officeDocument/2006/relationships" name="Evaluation table" sheetId="3" state="visible" r:id="rId3"/>
    <sheet xmlns:r="http://schemas.openxmlformats.org/officeDocument/2006/relationships" name="Form questions" sheetId="4" state="visible" r:id="rId4"/>
    <sheet xmlns:r="http://schemas.openxmlformats.org/officeDocument/2006/relationships" name="Form questions · blank" sheetId="5" state="visible" r:id="rId5"/>
    <sheet xmlns:r="http://schemas.openxmlformats.org/officeDocument/2006/relationships" name="Form respon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5">
    <font>
      <name val="Calibri"/>
      <family val="2"/>
      <color theme="1"/>
      <sz val="11"/>
      <scheme val="minor"/>
    </font>
    <font>
      <name val="Arial"/>
      <b val="1"/>
      <color rgb="001F2328"/>
      <sz val="14"/>
    </font>
    <font>
      <name val="Arial"/>
      <i val="1"/>
      <color rgb="005B6270"/>
      <sz val="9"/>
    </font>
    <font>
      <name val="Arial"/>
      <b val="1"/>
      <color rgb="001F2328"/>
    </font>
    <font>
      <name val="Arial"/>
      <color rgb="001F2328"/>
    </font>
  </fonts>
  <fills count="5">
    <fill>
      <patternFill/>
    </fill>
    <fill>
      <patternFill patternType="gray125"/>
    </fill>
    <fill>
      <patternFill patternType="solid">
        <fgColor rgb="00E7ECFA"/>
      </patternFill>
    </fill>
    <fill>
      <patternFill patternType="solid">
        <fgColor rgb="00FFF8E6"/>
      </patternFill>
    </fill>
    <fill>
      <patternFill patternType="solid">
        <fgColor rgb="00F3F3F1"/>
      </patternFill>
    </fill>
  </fills>
  <borders count="2">
    <border>
      <left/>
      <right/>
      <top/>
      <bottom/>
      <diagonal/>
    </border>
    <border>
      <left style="thin">
        <color rgb="00C9CCD3"/>
      </left>
      <right style="thin">
        <color rgb="00C9CCD3"/>
      </right>
      <top style="thin">
        <color rgb="00C9CCD3"/>
      </top>
      <bottom style="thin">
        <color rgb="00C9CC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Kano distribution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'Kano · Tallyrow'!B4</f>
            </strRef>
          </tx>
          <spPr>
            <a:solidFill xmlns:a="http://schemas.openxmlformats.org/drawingml/2006/main">
              <a:srgbClr val="2451D1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Tallyrow'!$A$5:$A$10</f>
            </numRef>
          </cat>
          <val>
            <numRef>
              <f>'Kano · Tallyrow'!$B$5:$B$10</f>
            </numRef>
          </val>
        </ser>
        <ser>
          <idx val="1"/>
          <order val="1"/>
          <tx>
            <strRef>
              <f>'Kano · Tallyrow'!C4</f>
            </strRef>
          </tx>
          <spPr>
            <a:solidFill xmlns:a="http://schemas.openxmlformats.org/drawingml/2006/main">
              <a:srgbClr val="6F8FE6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Tallyrow'!$A$5:$A$10</f>
            </numRef>
          </cat>
          <val>
            <numRef>
              <f>'Kano · Tallyrow'!$C$5:$C$10</f>
            </numRef>
          </val>
        </ser>
        <ser>
          <idx val="2"/>
          <order val="2"/>
          <tx>
            <strRef>
              <f>'Kano · Tallyrow'!D4</f>
            </strRef>
          </tx>
          <spPr>
            <a:solidFill xmlns:a="http://schemas.openxmlformats.org/drawingml/2006/main">
              <a:srgbClr val="C98A12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Tallyrow'!$A$5:$A$10</f>
            </numRef>
          </cat>
          <val>
            <numRef>
              <f>'Kano · Tallyrow'!$D$5:$D$10</f>
            </numRef>
          </val>
        </ser>
        <ser>
          <idx val="3"/>
          <order val="3"/>
          <tx>
            <strRef>
              <f>'Kano · Tallyrow'!E4</f>
            </strRef>
          </tx>
          <spPr>
            <a:solidFill xmlns:a="http://schemas.openxmlformats.org/drawingml/2006/main">
              <a:srgbClr val="B8BCC6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Tallyrow'!$A$5:$A$10</f>
            </numRef>
          </cat>
          <val>
            <numRef>
              <f>'Kano · Tallyrow'!$E$5:$E$10</f>
            </numRef>
          </val>
        </ser>
        <ser>
          <idx val="4"/>
          <order val="4"/>
          <tx>
            <strRef>
              <f>'Kano · Tallyrow'!F4</f>
            </strRef>
          </tx>
          <spPr>
            <a:solidFill xmlns:a="http://schemas.openxmlformats.org/drawingml/2006/main">
              <a:srgbClr val="C2453D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Tallyrow'!$A$5:$A$10</f>
            </numRef>
          </cat>
          <val>
            <numRef>
              <f>'Kano · Tallyrow'!$F$5:$F$10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Kano distribution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'Kano · your features'!B4</f>
            </strRef>
          </tx>
          <spPr>
            <a:solidFill xmlns:a="http://schemas.openxmlformats.org/drawingml/2006/main">
              <a:srgbClr val="2451D1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your features'!$A$5:$A$10</f>
            </numRef>
          </cat>
          <val>
            <numRef>
              <f>'Kano · your features'!$B$5:$B$10</f>
            </numRef>
          </val>
        </ser>
        <ser>
          <idx val="1"/>
          <order val="1"/>
          <tx>
            <strRef>
              <f>'Kano · your features'!C4</f>
            </strRef>
          </tx>
          <spPr>
            <a:solidFill xmlns:a="http://schemas.openxmlformats.org/drawingml/2006/main">
              <a:srgbClr val="6F8FE6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your features'!$A$5:$A$10</f>
            </numRef>
          </cat>
          <val>
            <numRef>
              <f>'Kano · your features'!$C$5:$C$10</f>
            </numRef>
          </val>
        </ser>
        <ser>
          <idx val="2"/>
          <order val="2"/>
          <tx>
            <strRef>
              <f>'Kano · your features'!D4</f>
            </strRef>
          </tx>
          <spPr>
            <a:solidFill xmlns:a="http://schemas.openxmlformats.org/drawingml/2006/main">
              <a:srgbClr val="C98A12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your features'!$A$5:$A$10</f>
            </numRef>
          </cat>
          <val>
            <numRef>
              <f>'Kano · your features'!$D$5:$D$10</f>
            </numRef>
          </val>
        </ser>
        <ser>
          <idx val="3"/>
          <order val="3"/>
          <tx>
            <strRef>
              <f>'Kano · your features'!E4</f>
            </strRef>
          </tx>
          <spPr>
            <a:solidFill xmlns:a="http://schemas.openxmlformats.org/drawingml/2006/main">
              <a:srgbClr val="B8BCC6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your features'!$A$5:$A$10</f>
            </numRef>
          </cat>
          <val>
            <numRef>
              <f>'Kano · your features'!$E$5:$E$10</f>
            </numRef>
          </val>
        </ser>
        <ser>
          <idx val="4"/>
          <order val="4"/>
          <tx>
            <strRef>
              <f>'Kano · your features'!F4</f>
            </strRef>
          </tx>
          <spPr>
            <a:solidFill xmlns:a="http://schemas.openxmlformats.org/drawingml/2006/main">
              <a:srgbClr val="C2453D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'Kano · your features'!$A$5:$A$10</f>
            </numRef>
          </cat>
          <val>
            <numRef>
              <f>'Kano · your features'!$F$5:$F$10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Kano · Tallyrow</t>
        </is>
      </c>
    </row>
    <row r="2">
      <c r="A2" s="2" t="inlineStr">
        <is>
          <t>Paste the 12 answer columns (values only) into B19. Categories fill from the Evaluation table; the summary and chart update.</t>
        </is>
      </c>
    </row>
    <row r="4">
      <c r="A4" s="3" t="inlineStr">
        <is>
          <t>Feature</t>
        </is>
      </c>
      <c r="B4" s="3" t="inlineStr">
        <is>
          <t>Must-be</t>
        </is>
      </c>
      <c r="C4" s="3" t="inlineStr">
        <is>
          <t>One-dimensional</t>
        </is>
      </c>
      <c r="D4" s="3" t="inlineStr">
        <is>
          <t>Attractive</t>
        </is>
      </c>
      <c r="E4" s="3" t="inlineStr">
        <is>
          <t>Indifferent</t>
        </is>
      </c>
      <c r="F4" s="3" t="inlineStr">
        <is>
          <t>Reverse</t>
        </is>
      </c>
      <c r="G4" s="3" t="inlineStr">
        <is>
          <t>Top category</t>
        </is>
      </c>
      <c r="H4" s="3" t="inlineStr">
        <is>
          <t>Runner-up</t>
        </is>
      </c>
      <c r="I4" s="3" t="inlineStr">
        <is>
          <t>Q dropped</t>
        </is>
      </c>
      <c r="J4" s="3" t="inlineStr">
        <is>
          <t>Valid</t>
        </is>
      </c>
    </row>
    <row r="5">
      <c r="A5" s="4" t="inlineStr">
        <is>
          <t>Payment link</t>
        </is>
      </c>
      <c r="B5" s="5">
        <f>IF($J5=0,"",COUNTIF($N$19:$N$168,"M")/$J5)</f>
        <v/>
      </c>
      <c r="C5" s="5">
        <f>IF($J5=0,"",COUNTIF($N$19:$N$168,"O")/$J5)</f>
        <v/>
      </c>
      <c r="D5" s="5">
        <f>IF($J5=0,"",COUNTIF($N$19:$N$168,"A")/$J5)</f>
        <v/>
      </c>
      <c r="E5" s="5">
        <f>IF($J5=0,"",COUNTIF($N$19:$N$168,"I")/$J5)</f>
        <v/>
      </c>
      <c r="F5" s="5">
        <f>IF($J5=0,"",COUNTIF($N$19:$N$168,"R")/$J5)</f>
        <v/>
      </c>
      <c r="G5" s="6">
        <f>IF($J5=0,"",INDEX($B$4:$F$4,MATCH(MAX($B5:$F5),$B5:$F5,0)))</f>
        <v/>
      </c>
      <c r="H5" s="7">
        <f>IF($J5=0,"",INDEX($B$4:$F$4,MATCH(LARGE($B5:$F5,2),$B5:$F5,0)))</f>
        <v/>
      </c>
      <c r="I5" s="7">
        <f>COUNTIF($N$19:$N$168,"Q")</f>
        <v/>
      </c>
      <c r="J5" s="7">
        <f>COUNTIF($N$19:$N$168,"M")+COUNTIF($N$19:$N$168,"O")+COUNTIF($N$19:$N$168,"A")+COUNTIF($N$19:$N$168,"I")+COUNTIF($N$19:$N$168,"R")</f>
        <v/>
      </c>
    </row>
    <row r="6">
      <c r="A6" s="4" t="inlineStr">
        <is>
          <t>Recurring invoices</t>
        </is>
      </c>
      <c r="B6" s="5">
        <f>IF($J6=0,"",COUNTIF($O$19:$O$168,"M")/$J6)</f>
        <v/>
      </c>
      <c r="C6" s="5">
        <f>IF($J6=0,"",COUNTIF($O$19:$O$168,"O")/$J6)</f>
        <v/>
      </c>
      <c r="D6" s="5">
        <f>IF($J6=0,"",COUNTIF($O$19:$O$168,"A")/$J6)</f>
        <v/>
      </c>
      <c r="E6" s="5">
        <f>IF($J6=0,"",COUNTIF($O$19:$O$168,"I")/$J6)</f>
        <v/>
      </c>
      <c r="F6" s="5">
        <f>IF($J6=0,"",COUNTIF($O$19:$O$168,"R")/$J6)</f>
        <v/>
      </c>
      <c r="G6" s="6">
        <f>IF($J6=0,"",INDEX($B$4:$F$4,MATCH(MAX($B6:$F6),$B6:$F6,0)))</f>
        <v/>
      </c>
      <c r="H6" s="7">
        <f>IF($J6=0,"",INDEX($B$4:$F$4,MATCH(LARGE($B6:$F6,2),$B6:$F6,0)))</f>
        <v/>
      </c>
      <c r="I6" s="7">
        <f>COUNTIF($O$19:$O$168,"Q")</f>
        <v/>
      </c>
      <c r="J6" s="7">
        <f>COUNTIF($O$19:$O$168,"M")+COUNTIF($O$19:$O$168,"O")+COUNTIF($O$19:$O$168,"A")+COUNTIF($O$19:$O$168,"I")+COUNTIF($O$19:$O$168,"R")</f>
        <v/>
      </c>
    </row>
    <row r="7">
      <c r="A7" s="4" t="inlineStr">
        <is>
          <t>Smart reminders</t>
        </is>
      </c>
      <c r="B7" s="5">
        <f>IF($J7=0,"",COUNTIF($P$19:$P$168,"M")/$J7)</f>
        <v/>
      </c>
      <c r="C7" s="5">
        <f>IF($J7=0,"",COUNTIF($P$19:$P$168,"O")/$J7)</f>
        <v/>
      </c>
      <c r="D7" s="5">
        <f>IF($J7=0,"",COUNTIF($P$19:$P$168,"A")/$J7)</f>
        <v/>
      </c>
      <c r="E7" s="5">
        <f>IF($J7=0,"",COUNTIF($P$19:$P$168,"I")/$J7)</f>
        <v/>
      </c>
      <c r="F7" s="5">
        <f>IF($J7=0,"",COUNTIF($P$19:$P$168,"R")/$J7)</f>
        <v/>
      </c>
      <c r="G7" s="6">
        <f>IF($J7=0,"",INDEX($B$4:$F$4,MATCH(MAX($B7:$F7),$B7:$F7,0)))</f>
        <v/>
      </c>
      <c r="H7" s="7">
        <f>IF($J7=0,"",INDEX($B$4:$F$4,MATCH(LARGE($B7:$F7,2),$B7:$F7,0)))</f>
        <v/>
      </c>
      <c r="I7" s="7">
        <f>COUNTIF($P$19:$P$168,"Q")</f>
        <v/>
      </c>
      <c r="J7" s="7">
        <f>COUNTIF($P$19:$P$168,"M")+COUNTIF($P$19:$P$168,"O")+COUNTIF($P$19:$P$168,"A")+COUNTIF($P$19:$P$168,"I")+COUNTIF($P$19:$P$168,"R")</f>
        <v/>
      </c>
    </row>
    <row r="8">
      <c r="A8" s="4" t="inlineStr">
        <is>
          <t>Client portal</t>
        </is>
      </c>
      <c r="B8" s="5">
        <f>IF($J8=0,"",COUNTIF($Q$19:$Q$168,"M")/$J8)</f>
        <v/>
      </c>
      <c r="C8" s="5">
        <f>IF($J8=0,"",COUNTIF($Q$19:$Q$168,"O")/$J8)</f>
        <v/>
      </c>
      <c r="D8" s="5">
        <f>IF($J8=0,"",COUNTIF($Q$19:$Q$168,"A")/$J8)</f>
        <v/>
      </c>
      <c r="E8" s="5">
        <f>IF($J8=0,"",COUNTIF($Q$19:$Q$168,"I")/$J8)</f>
        <v/>
      </c>
      <c r="F8" s="5">
        <f>IF($J8=0,"",COUNTIF($Q$19:$Q$168,"R")/$J8)</f>
        <v/>
      </c>
      <c r="G8" s="6">
        <f>IF($J8=0,"",INDEX($B$4:$F$4,MATCH(MAX($B8:$F8),$B8:$F8,0)))</f>
        <v/>
      </c>
      <c r="H8" s="7">
        <f>IF($J8=0,"",INDEX($B$4:$F$4,MATCH(LARGE($B8:$F8,2),$B8:$F8,0)))</f>
        <v/>
      </c>
      <c r="I8" s="7">
        <f>COUNTIF($Q$19:$Q$168,"Q")</f>
        <v/>
      </c>
      <c r="J8" s="7">
        <f>COUNTIF($Q$19:$Q$168,"M")+COUNTIF($Q$19:$Q$168,"O")+COUNTIF($Q$19:$Q$168,"A")+COUNTIF($Q$19:$Q$168,"I")+COUNTIF($Q$19:$Q$168,"R")</f>
        <v/>
      </c>
    </row>
    <row r="9">
      <c r="A9" s="4" t="inlineStr">
        <is>
          <t>Receipt capture</t>
        </is>
      </c>
      <c r="B9" s="5">
        <f>IF($J9=0,"",COUNTIF($R$19:$R$168,"M")/$J9)</f>
        <v/>
      </c>
      <c r="C9" s="5">
        <f>IF($J9=0,"",COUNTIF($R$19:$R$168,"O")/$J9)</f>
        <v/>
      </c>
      <c r="D9" s="5">
        <f>IF($J9=0,"",COUNTIF($R$19:$R$168,"A")/$J9)</f>
        <v/>
      </c>
      <c r="E9" s="5">
        <f>IF($J9=0,"",COUNTIF($R$19:$R$168,"I")/$J9)</f>
        <v/>
      </c>
      <c r="F9" s="5">
        <f>IF($J9=0,"",COUNTIF($R$19:$R$168,"R")/$J9)</f>
        <v/>
      </c>
      <c r="G9" s="6">
        <f>IF($J9=0,"",INDEX($B$4:$F$4,MATCH(MAX($B9:$F9),$B9:$F9,0)))</f>
        <v/>
      </c>
      <c r="H9" s="7">
        <f>IF($J9=0,"",INDEX($B$4:$F$4,MATCH(LARGE($B9:$F9,2),$B9:$F9,0)))</f>
        <v/>
      </c>
      <c r="I9" s="7">
        <f>COUNTIF($R$19:$R$168,"Q")</f>
        <v/>
      </c>
      <c r="J9" s="7">
        <f>COUNTIF($R$19:$R$168,"M")+COUNTIF($R$19:$R$168,"O")+COUNTIF($R$19:$R$168,"A")+COUNTIF($R$19:$R$168,"I")+COUNTIF($R$19:$R$168,"R")</f>
        <v/>
      </c>
    </row>
    <row r="10">
      <c r="A10" s="4" t="inlineStr">
        <is>
          <t>Late-fee automation</t>
        </is>
      </c>
      <c r="B10" s="5">
        <f>IF($J10=0,"",COUNTIF($S$19:$S$168,"M")/$J10)</f>
        <v/>
      </c>
      <c r="C10" s="5">
        <f>IF($J10=0,"",COUNTIF($S$19:$S$168,"O")/$J10)</f>
        <v/>
      </c>
      <c r="D10" s="5">
        <f>IF($J10=0,"",COUNTIF($S$19:$S$168,"A")/$J10)</f>
        <v/>
      </c>
      <c r="E10" s="5">
        <f>IF($J10=0,"",COUNTIF($S$19:$S$168,"I")/$J10)</f>
        <v/>
      </c>
      <c r="F10" s="5">
        <f>IF($J10=0,"",COUNTIF($S$19:$S$168,"R")/$J10)</f>
        <v/>
      </c>
      <c r="G10" s="6">
        <f>IF($J10=0,"",INDEX($B$4:$F$4,MATCH(MAX($B10:$F10),$B10:$F10,0)))</f>
        <v/>
      </c>
      <c r="H10" s="7">
        <f>IF($J10=0,"",INDEX($B$4:$F$4,MATCH(LARGE($B10:$F10,2),$B10:$F10,0)))</f>
        <v/>
      </c>
      <c r="I10" s="7">
        <f>COUNTIF($S$19:$S$168,"Q")</f>
        <v/>
      </c>
      <c r="J10" s="7">
        <f>COUNTIF($S$19:$S$168,"M")+COUNTIF($S$19:$S$168,"O")+COUNTIF($S$19:$S$168,"A")+COUNTIF($S$19:$S$168,"I")+COUNTIF($S$19:$S$168,"R")</f>
        <v/>
      </c>
    </row>
    <row r="12">
      <c r="A12" s="2" t="inlineStr">
        <is>
          <t>Read the runner-up too: two close categories = contested, not settled. Many Q? Rewrite the question.</t>
        </is>
      </c>
    </row>
    <row r="18" ht="46" customHeight="1">
      <c r="A18" s="8" t="inlineStr">
        <is>
          <t>#</t>
        </is>
      </c>
      <c r="B18" s="9" t="inlineStr">
        <is>
          <t>Payment link · with</t>
        </is>
      </c>
      <c r="C18" s="9" t="inlineStr">
        <is>
          <t>Payment link · without</t>
        </is>
      </c>
      <c r="D18" s="9" t="inlineStr">
        <is>
          <t>Recurring invoices · with</t>
        </is>
      </c>
      <c r="E18" s="9" t="inlineStr">
        <is>
          <t>Recurring invoices · without</t>
        </is>
      </c>
      <c r="F18" s="9" t="inlineStr">
        <is>
          <t>Smart reminders · with</t>
        </is>
      </c>
      <c r="G18" s="9" t="inlineStr">
        <is>
          <t>Smart reminders · without</t>
        </is>
      </c>
      <c r="H18" s="9" t="inlineStr">
        <is>
          <t>Client portal · with</t>
        </is>
      </c>
      <c r="I18" s="9" t="inlineStr">
        <is>
          <t>Client portal · without</t>
        </is>
      </c>
      <c r="J18" s="9" t="inlineStr">
        <is>
          <t>Receipt capture · with</t>
        </is>
      </c>
      <c r="K18" s="9" t="inlineStr">
        <is>
          <t>Receipt capture · without</t>
        </is>
      </c>
      <c r="L18" s="9" t="inlineStr">
        <is>
          <t>Late-fee automation · with</t>
        </is>
      </c>
      <c r="M18" s="9" t="inlineStr">
        <is>
          <t>Late-fee automation · without</t>
        </is>
      </c>
      <c r="N18" s="9" t="inlineStr">
        <is>
          <t>Payment link · category</t>
        </is>
      </c>
      <c r="O18" s="9" t="inlineStr">
        <is>
          <t>Recurring invoices · category</t>
        </is>
      </c>
      <c r="P18" s="9" t="inlineStr">
        <is>
          <t>Smart reminders · category</t>
        </is>
      </c>
      <c r="Q18" s="9" t="inlineStr">
        <is>
          <t>Client portal · category</t>
        </is>
      </c>
      <c r="R18" s="9" t="inlineStr">
        <is>
          <t>Receipt capture · category</t>
        </is>
      </c>
      <c r="S18" s="9" t="inlineStr">
        <is>
          <t>Late-fee automation · category</t>
        </is>
      </c>
    </row>
    <row r="19">
      <c r="A19" s="2" t="n">
        <v>1</v>
      </c>
      <c r="B19" s="10" t="inlineStr">
        <is>
          <t>I'm neutral</t>
        </is>
      </c>
      <c r="C19" s="10" t="inlineStr">
        <is>
          <t>I dislike it</t>
        </is>
      </c>
      <c r="D19" s="10" t="inlineStr">
        <is>
          <t>I expect it</t>
        </is>
      </c>
      <c r="E19" s="10" t="inlineStr">
        <is>
          <t>I dislike it</t>
        </is>
      </c>
      <c r="F19" s="10" t="inlineStr">
        <is>
          <t>I like it</t>
        </is>
      </c>
      <c r="G19" s="10" t="inlineStr">
        <is>
          <t>I'm neutral</t>
        </is>
      </c>
      <c r="H19" s="10" t="inlineStr">
        <is>
          <t>I like it</t>
        </is>
      </c>
      <c r="I19" s="10" t="inlineStr">
        <is>
          <t>I dislike it</t>
        </is>
      </c>
      <c r="J19" s="10" t="inlineStr">
        <is>
          <t>I expect it</t>
        </is>
      </c>
      <c r="K19" s="10" t="inlineStr">
        <is>
          <t>I dislike it</t>
        </is>
      </c>
      <c r="L19" s="10" t="inlineStr">
        <is>
          <t>I dislike it</t>
        </is>
      </c>
      <c r="M19" s="10" t="inlineStr">
        <is>
          <t>I like it</t>
        </is>
      </c>
      <c r="N19" s="11">
        <f>IF(OR(B19="",C19=""),"",IFERROR(INDEX('Evaluation table'!$B$4:$F$8,MATCH(TRIM(SUBSTITUTE(B19,"’","'")),'Evaluation table'!$A$4:$A$8,0),MATCH(TRIM(SUBSTITUTE(C19,"’","'")),'Evaluation table'!$B$3:$F$3,0)),"?"))</f>
        <v/>
      </c>
      <c r="O19" s="11">
        <f>IF(OR(D19="",E19=""),"",IFERROR(INDEX('Evaluation table'!$B$4:$F$8,MATCH(TRIM(SUBSTITUTE(D19,"’","'")),'Evaluation table'!$A$4:$A$8,0),MATCH(TRIM(SUBSTITUTE(E19,"’","'")),'Evaluation table'!$B$3:$F$3,0)),"?"))</f>
        <v/>
      </c>
      <c r="P19" s="11">
        <f>IF(OR(F19="",G19=""),"",IFERROR(INDEX('Evaluation table'!$B$4:$F$8,MATCH(TRIM(SUBSTITUTE(F19,"’","'")),'Evaluation table'!$A$4:$A$8,0),MATCH(TRIM(SUBSTITUTE(G19,"’","'")),'Evaluation table'!$B$3:$F$3,0)),"?"))</f>
        <v/>
      </c>
      <c r="Q19" s="11">
        <f>IF(OR(H19="",I19=""),"",IFERROR(INDEX('Evaluation table'!$B$4:$F$8,MATCH(TRIM(SUBSTITUTE(H19,"’","'")),'Evaluation table'!$A$4:$A$8,0),MATCH(TRIM(SUBSTITUTE(I19,"’","'")),'Evaluation table'!$B$3:$F$3,0)),"?"))</f>
        <v/>
      </c>
      <c r="R19" s="11">
        <f>IF(OR(J19="",K19=""),"",IFERROR(INDEX('Evaluation table'!$B$4:$F$8,MATCH(TRIM(SUBSTITUTE(J19,"’","'")),'Evaluation table'!$A$4:$A$8,0),MATCH(TRIM(SUBSTITUTE(K19,"’","'")),'Evaluation table'!$B$3:$F$3,0)),"?"))</f>
        <v/>
      </c>
      <c r="S19" s="11">
        <f>IF(OR(L19="",M19=""),"",IFERROR(INDEX('Evaluation table'!$B$4:$F$8,MATCH(TRIM(SUBSTITUTE(L19,"’","'")),'Evaluation table'!$A$4:$A$8,0),MATCH(TRIM(SUBSTITUTE(M19,"’","'")),'Evaluation table'!$B$3:$F$3,0)),"?"))</f>
        <v/>
      </c>
    </row>
    <row r="20">
      <c r="A20" s="2" t="n">
        <v>2</v>
      </c>
      <c r="B20" s="10" t="inlineStr">
        <is>
          <t>I like it</t>
        </is>
      </c>
      <c r="C20" s="10" t="inlineStr">
        <is>
          <t>I dislike it</t>
        </is>
      </c>
      <c r="D20" s="10" t="inlineStr">
        <is>
          <t>I like it</t>
        </is>
      </c>
      <c r="E20" s="10" t="inlineStr">
        <is>
          <t>I dislike it</t>
        </is>
      </c>
      <c r="F20" s="10" t="inlineStr">
        <is>
          <t>I like it</t>
        </is>
      </c>
      <c r="G20" s="10" t="inlineStr">
        <is>
          <t>I'm neutral</t>
        </is>
      </c>
      <c r="H20" s="10" t="inlineStr">
        <is>
          <t>I dislike it</t>
        </is>
      </c>
      <c r="I20" s="10" t="inlineStr">
        <is>
          <t>I'm neutral</t>
        </is>
      </c>
      <c r="J20" s="10" t="inlineStr">
        <is>
          <t>I expect it</t>
        </is>
      </c>
      <c r="K20" s="10" t="inlineStr">
        <is>
          <t>I'm neutral</t>
        </is>
      </c>
      <c r="L20" s="10" t="inlineStr">
        <is>
          <t>I dislike it</t>
        </is>
      </c>
      <c r="M20" s="10" t="inlineStr">
        <is>
          <t>I'm neutral</t>
        </is>
      </c>
      <c r="N20" s="11">
        <f>IF(OR(B20="",C20=""),"",IFERROR(INDEX('Evaluation table'!$B$4:$F$8,MATCH(TRIM(SUBSTITUTE(B20,"’","'")),'Evaluation table'!$A$4:$A$8,0),MATCH(TRIM(SUBSTITUTE(C20,"’","'")),'Evaluation table'!$B$3:$F$3,0)),"?"))</f>
        <v/>
      </c>
      <c r="O20" s="11">
        <f>IF(OR(D20="",E20=""),"",IFERROR(INDEX('Evaluation table'!$B$4:$F$8,MATCH(TRIM(SUBSTITUTE(D20,"’","'")),'Evaluation table'!$A$4:$A$8,0),MATCH(TRIM(SUBSTITUTE(E20,"’","'")),'Evaluation table'!$B$3:$F$3,0)),"?"))</f>
        <v/>
      </c>
      <c r="P20" s="11">
        <f>IF(OR(F20="",G20=""),"",IFERROR(INDEX('Evaluation table'!$B$4:$F$8,MATCH(TRIM(SUBSTITUTE(F20,"’","'")),'Evaluation table'!$A$4:$A$8,0),MATCH(TRIM(SUBSTITUTE(G20,"’","'")),'Evaluation table'!$B$3:$F$3,0)),"?"))</f>
        <v/>
      </c>
      <c r="Q20" s="11">
        <f>IF(OR(H20="",I20=""),"",IFERROR(INDEX('Evaluation table'!$B$4:$F$8,MATCH(TRIM(SUBSTITUTE(H20,"’","'")),'Evaluation table'!$A$4:$A$8,0),MATCH(TRIM(SUBSTITUTE(I20,"’","'")),'Evaluation table'!$B$3:$F$3,0)),"?"))</f>
        <v/>
      </c>
      <c r="R20" s="11">
        <f>IF(OR(J20="",K20=""),"",IFERROR(INDEX('Evaluation table'!$B$4:$F$8,MATCH(TRIM(SUBSTITUTE(J20,"’","'")),'Evaluation table'!$A$4:$A$8,0),MATCH(TRIM(SUBSTITUTE(K20,"’","'")),'Evaluation table'!$B$3:$F$3,0)),"?"))</f>
        <v/>
      </c>
      <c r="S20" s="11">
        <f>IF(OR(L20="",M20=""),"",IFERROR(INDEX('Evaluation table'!$B$4:$F$8,MATCH(TRIM(SUBSTITUTE(L20,"’","'")),'Evaluation table'!$A$4:$A$8,0),MATCH(TRIM(SUBSTITUTE(M20,"’","'")),'Evaluation table'!$B$3:$F$3,0)),"?"))</f>
        <v/>
      </c>
    </row>
    <row r="21">
      <c r="A21" s="2" t="n">
        <v>3</v>
      </c>
      <c r="B21" s="10" t="inlineStr">
        <is>
          <t>I expect it</t>
        </is>
      </c>
      <c r="C21" s="10" t="inlineStr">
        <is>
          <t>I'm neutral</t>
        </is>
      </c>
      <c r="D21" s="10" t="inlineStr">
        <is>
          <t>I like it</t>
        </is>
      </c>
      <c r="E21" s="10" t="inlineStr">
        <is>
          <t>I dislike it</t>
        </is>
      </c>
      <c r="F21" s="10" t="inlineStr">
        <is>
          <t>I can tolerate it</t>
        </is>
      </c>
      <c r="G21" s="10" t="inlineStr">
        <is>
          <t>I can tolerate it</t>
        </is>
      </c>
      <c r="H21" s="10" t="inlineStr">
        <is>
          <t>I like it</t>
        </is>
      </c>
      <c r="I21" s="10" t="inlineStr">
        <is>
          <t>I can tolerate it</t>
        </is>
      </c>
      <c r="J21" s="10" t="inlineStr">
        <is>
          <t>I expect it</t>
        </is>
      </c>
      <c r="K21" s="10" t="inlineStr">
        <is>
          <t>I'm neutral</t>
        </is>
      </c>
      <c r="L21" s="10" t="inlineStr">
        <is>
          <t>I like it</t>
        </is>
      </c>
      <c r="M21" s="10" t="inlineStr">
        <is>
          <t>I'm neutral</t>
        </is>
      </c>
      <c r="N21" s="11">
        <f>IF(OR(B21="",C21=""),"",IFERROR(INDEX('Evaluation table'!$B$4:$F$8,MATCH(TRIM(SUBSTITUTE(B21,"’","'")),'Evaluation table'!$A$4:$A$8,0),MATCH(TRIM(SUBSTITUTE(C21,"’","'")),'Evaluation table'!$B$3:$F$3,0)),"?"))</f>
        <v/>
      </c>
      <c r="O21" s="11">
        <f>IF(OR(D21="",E21=""),"",IFERROR(INDEX('Evaluation table'!$B$4:$F$8,MATCH(TRIM(SUBSTITUTE(D21,"’","'")),'Evaluation table'!$A$4:$A$8,0),MATCH(TRIM(SUBSTITUTE(E21,"’","'")),'Evaluation table'!$B$3:$F$3,0)),"?"))</f>
        <v/>
      </c>
      <c r="P21" s="11">
        <f>IF(OR(F21="",G21=""),"",IFERROR(INDEX('Evaluation table'!$B$4:$F$8,MATCH(TRIM(SUBSTITUTE(F21,"’","'")),'Evaluation table'!$A$4:$A$8,0),MATCH(TRIM(SUBSTITUTE(G21,"’","'")),'Evaluation table'!$B$3:$F$3,0)),"?"))</f>
        <v/>
      </c>
      <c r="Q21" s="11">
        <f>IF(OR(H21="",I21=""),"",IFERROR(INDEX('Evaluation table'!$B$4:$F$8,MATCH(TRIM(SUBSTITUTE(H21,"’","'")),'Evaluation table'!$A$4:$A$8,0),MATCH(TRIM(SUBSTITUTE(I21,"’","'")),'Evaluation table'!$B$3:$F$3,0)),"?"))</f>
        <v/>
      </c>
      <c r="R21" s="11">
        <f>IF(OR(J21="",K21=""),"",IFERROR(INDEX('Evaluation table'!$B$4:$F$8,MATCH(TRIM(SUBSTITUTE(J21,"’","'")),'Evaluation table'!$A$4:$A$8,0),MATCH(TRIM(SUBSTITUTE(K21,"’","'")),'Evaluation table'!$B$3:$F$3,0)),"?"))</f>
        <v/>
      </c>
      <c r="S21" s="11">
        <f>IF(OR(L21="",M21=""),"",IFERROR(INDEX('Evaluation table'!$B$4:$F$8,MATCH(TRIM(SUBSTITUTE(L21,"’","'")),'Evaluation table'!$A$4:$A$8,0),MATCH(TRIM(SUBSTITUTE(M21,"’","'")),'Evaluation table'!$B$3:$F$3,0)),"?"))</f>
        <v/>
      </c>
    </row>
    <row r="22">
      <c r="A22" s="2" t="n">
        <v>4</v>
      </c>
      <c r="B22" s="10" t="inlineStr">
        <is>
          <t>I like it</t>
        </is>
      </c>
      <c r="C22" s="10" t="inlineStr">
        <is>
          <t>I dislike it</t>
        </is>
      </c>
      <c r="D22" s="10" t="inlineStr">
        <is>
          <t>I expect it</t>
        </is>
      </c>
      <c r="E22" s="10" t="inlineStr">
        <is>
          <t>I dislike it</t>
        </is>
      </c>
      <c r="F22" s="10" t="inlineStr">
        <is>
          <t>I dislike it</t>
        </is>
      </c>
      <c r="G22" s="10" t="inlineStr">
        <is>
          <t>I like it</t>
        </is>
      </c>
      <c r="H22" s="10" t="inlineStr">
        <is>
          <t>I like it</t>
        </is>
      </c>
      <c r="I22" s="10" t="inlineStr">
        <is>
          <t>I expect it</t>
        </is>
      </c>
      <c r="J22" s="10" t="inlineStr">
        <is>
          <t>I like it</t>
        </is>
      </c>
      <c r="K22" s="10" t="inlineStr">
        <is>
          <t>I'm neutral</t>
        </is>
      </c>
      <c r="L22" s="10" t="inlineStr">
        <is>
          <t>I dislike it</t>
        </is>
      </c>
      <c r="M22" s="10" t="inlineStr">
        <is>
          <t>I'm neutral</t>
        </is>
      </c>
      <c r="N22" s="11">
        <f>IF(OR(B22="",C22=""),"",IFERROR(INDEX('Evaluation table'!$B$4:$F$8,MATCH(TRIM(SUBSTITUTE(B22,"’","'")),'Evaluation table'!$A$4:$A$8,0),MATCH(TRIM(SUBSTITUTE(C22,"’","'")),'Evaluation table'!$B$3:$F$3,0)),"?"))</f>
        <v/>
      </c>
      <c r="O22" s="11">
        <f>IF(OR(D22="",E22=""),"",IFERROR(INDEX('Evaluation table'!$B$4:$F$8,MATCH(TRIM(SUBSTITUTE(D22,"’","'")),'Evaluation table'!$A$4:$A$8,0),MATCH(TRIM(SUBSTITUTE(E22,"’","'")),'Evaluation table'!$B$3:$F$3,0)),"?"))</f>
        <v/>
      </c>
      <c r="P22" s="11">
        <f>IF(OR(F22="",G22=""),"",IFERROR(INDEX('Evaluation table'!$B$4:$F$8,MATCH(TRIM(SUBSTITUTE(F22,"’","'")),'Evaluation table'!$A$4:$A$8,0),MATCH(TRIM(SUBSTITUTE(G22,"’","'")),'Evaluation table'!$B$3:$F$3,0)),"?"))</f>
        <v/>
      </c>
      <c r="Q22" s="11">
        <f>IF(OR(H22="",I22=""),"",IFERROR(INDEX('Evaluation table'!$B$4:$F$8,MATCH(TRIM(SUBSTITUTE(H22,"’","'")),'Evaluation table'!$A$4:$A$8,0),MATCH(TRIM(SUBSTITUTE(I22,"’","'")),'Evaluation table'!$B$3:$F$3,0)),"?"))</f>
        <v/>
      </c>
      <c r="R22" s="11">
        <f>IF(OR(J22="",K22=""),"",IFERROR(INDEX('Evaluation table'!$B$4:$F$8,MATCH(TRIM(SUBSTITUTE(J22,"’","'")),'Evaluation table'!$A$4:$A$8,0),MATCH(TRIM(SUBSTITUTE(K22,"’","'")),'Evaluation table'!$B$3:$F$3,0)),"?"))</f>
        <v/>
      </c>
      <c r="S22" s="11">
        <f>IF(OR(L22="",M22=""),"",IFERROR(INDEX('Evaluation table'!$B$4:$F$8,MATCH(TRIM(SUBSTITUTE(L22,"’","'")),'Evaluation table'!$A$4:$A$8,0),MATCH(TRIM(SUBSTITUTE(M22,"’","'")),'Evaluation table'!$B$3:$F$3,0)),"?"))</f>
        <v/>
      </c>
    </row>
    <row r="23">
      <c r="A23" s="2" t="n">
        <v>5</v>
      </c>
      <c r="B23" s="10" t="inlineStr">
        <is>
          <t>I can tolerate it</t>
        </is>
      </c>
      <c r="C23" s="10" t="inlineStr">
        <is>
          <t>I dislike it</t>
        </is>
      </c>
      <c r="D23" s="10" t="inlineStr">
        <is>
          <t>I'm neutral</t>
        </is>
      </c>
      <c r="E23" s="10" t="inlineStr">
        <is>
          <t>I'm neutral</t>
        </is>
      </c>
      <c r="F23" s="10" t="inlineStr">
        <is>
          <t>I like it</t>
        </is>
      </c>
      <c r="G23" s="10" t="inlineStr">
        <is>
          <t>I can tolerate it</t>
        </is>
      </c>
      <c r="H23" s="10" t="inlineStr">
        <is>
          <t>I'm neutral</t>
        </is>
      </c>
      <c r="I23" s="10" t="inlineStr">
        <is>
          <t>I'm neutral</t>
        </is>
      </c>
      <c r="J23" s="10" t="inlineStr">
        <is>
          <t>I'm neutral</t>
        </is>
      </c>
      <c r="K23" s="10" t="inlineStr">
        <is>
          <t>I'm neutral</t>
        </is>
      </c>
      <c r="L23" s="10" t="inlineStr">
        <is>
          <t>I like it</t>
        </is>
      </c>
      <c r="M23" s="10" t="inlineStr">
        <is>
          <t>I expect it</t>
        </is>
      </c>
      <c r="N23" s="11">
        <f>IF(OR(B23="",C23=""),"",IFERROR(INDEX('Evaluation table'!$B$4:$F$8,MATCH(TRIM(SUBSTITUTE(B23,"’","'")),'Evaluation table'!$A$4:$A$8,0),MATCH(TRIM(SUBSTITUTE(C23,"’","'")),'Evaluation table'!$B$3:$F$3,0)),"?"))</f>
        <v/>
      </c>
      <c r="O23" s="11">
        <f>IF(OR(D23="",E23=""),"",IFERROR(INDEX('Evaluation table'!$B$4:$F$8,MATCH(TRIM(SUBSTITUTE(D23,"’","'")),'Evaluation table'!$A$4:$A$8,0),MATCH(TRIM(SUBSTITUTE(E23,"’","'")),'Evaluation table'!$B$3:$F$3,0)),"?"))</f>
        <v/>
      </c>
      <c r="P23" s="11">
        <f>IF(OR(F23="",G23=""),"",IFERROR(INDEX('Evaluation table'!$B$4:$F$8,MATCH(TRIM(SUBSTITUTE(F23,"’","'")),'Evaluation table'!$A$4:$A$8,0),MATCH(TRIM(SUBSTITUTE(G23,"’","'")),'Evaluation table'!$B$3:$F$3,0)),"?"))</f>
        <v/>
      </c>
      <c r="Q23" s="11">
        <f>IF(OR(H23="",I23=""),"",IFERROR(INDEX('Evaluation table'!$B$4:$F$8,MATCH(TRIM(SUBSTITUTE(H23,"’","'")),'Evaluation table'!$A$4:$A$8,0),MATCH(TRIM(SUBSTITUTE(I23,"’","'")),'Evaluation table'!$B$3:$F$3,0)),"?"))</f>
        <v/>
      </c>
      <c r="R23" s="11">
        <f>IF(OR(J23="",K23=""),"",IFERROR(INDEX('Evaluation table'!$B$4:$F$8,MATCH(TRIM(SUBSTITUTE(J23,"’","'")),'Evaluation table'!$A$4:$A$8,0),MATCH(TRIM(SUBSTITUTE(K23,"’","'")),'Evaluation table'!$B$3:$F$3,0)),"?"))</f>
        <v/>
      </c>
      <c r="S23" s="11">
        <f>IF(OR(L23="",M23=""),"",IFERROR(INDEX('Evaluation table'!$B$4:$F$8,MATCH(TRIM(SUBSTITUTE(L23,"’","'")),'Evaluation table'!$A$4:$A$8,0),MATCH(TRIM(SUBSTITUTE(M23,"’","'")),'Evaluation table'!$B$3:$F$3,0)),"?"))</f>
        <v/>
      </c>
    </row>
    <row r="24">
      <c r="A24" s="2" t="n">
        <v>6</v>
      </c>
      <c r="B24" s="10" t="inlineStr">
        <is>
          <t>I like it</t>
        </is>
      </c>
      <c r="C24" s="10" t="inlineStr">
        <is>
          <t>I'm neutral</t>
        </is>
      </c>
      <c r="D24" s="10" t="inlineStr">
        <is>
          <t>I can tolerate it</t>
        </is>
      </c>
      <c r="E24" s="10" t="inlineStr">
        <is>
          <t>I dislike it</t>
        </is>
      </c>
      <c r="F24" s="10" t="inlineStr">
        <is>
          <t>I expect it</t>
        </is>
      </c>
      <c r="G24" s="10" t="inlineStr">
        <is>
          <t>I'm neutral</t>
        </is>
      </c>
      <c r="H24" s="10" t="inlineStr">
        <is>
          <t>I like it</t>
        </is>
      </c>
      <c r="I24" s="10" t="inlineStr">
        <is>
          <t>I'm neutral</t>
        </is>
      </c>
      <c r="J24" s="10" t="inlineStr">
        <is>
          <t>I like it</t>
        </is>
      </c>
      <c r="K24" s="10" t="inlineStr">
        <is>
          <t>I'm neutral</t>
        </is>
      </c>
      <c r="L24" s="10" t="inlineStr">
        <is>
          <t>I like it</t>
        </is>
      </c>
      <c r="M24" s="10" t="inlineStr">
        <is>
          <t>I'm neutral</t>
        </is>
      </c>
      <c r="N24" s="11">
        <f>IF(OR(B24="",C24=""),"",IFERROR(INDEX('Evaluation table'!$B$4:$F$8,MATCH(TRIM(SUBSTITUTE(B24,"’","'")),'Evaluation table'!$A$4:$A$8,0),MATCH(TRIM(SUBSTITUTE(C24,"’","'")),'Evaluation table'!$B$3:$F$3,0)),"?"))</f>
        <v/>
      </c>
      <c r="O24" s="11">
        <f>IF(OR(D24="",E24=""),"",IFERROR(INDEX('Evaluation table'!$B$4:$F$8,MATCH(TRIM(SUBSTITUTE(D24,"’","'")),'Evaluation table'!$A$4:$A$8,0),MATCH(TRIM(SUBSTITUTE(E24,"’","'")),'Evaluation table'!$B$3:$F$3,0)),"?"))</f>
        <v/>
      </c>
      <c r="P24" s="11">
        <f>IF(OR(F24="",G24=""),"",IFERROR(INDEX('Evaluation table'!$B$4:$F$8,MATCH(TRIM(SUBSTITUTE(F24,"’","'")),'Evaluation table'!$A$4:$A$8,0),MATCH(TRIM(SUBSTITUTE(G24,"’","'")),'Evaluation table'!$B$3:$F$3,0)),"?"))</f>
        <v/>
      </c>
      <c r="Q24" s="11">
        <f>IF(OR(H24="",I24=""),"",IFERROR(INDEX('Evaluation table'!$B$4:$F$8,MATCH(TRIM(SUBSTITUTE(H24,"’","'")),'Evaluation table'!$A$4:$A$8,0),MATCH(TRIM(SUBSTITUTE(I24,"’","'")),'Evaluation table'!$B$3:$F$3,0)),"?"))</f>
        <v/>
      </c>
      <c r="R24" s="11">
        <f>IF(OR(J24="",K24=""),"",IFERROR(INDEX('Evaluation table'!$B$4:$F$8,MATCH(TRIM(SUBSTITUTE(J24,"’","'")),'Evaluation table'!$A$4:$A$8,0),MATCH(TRIM(SUBSTITUTE(K24,"’","'")),'Evaluation table'!$B$3:$F$3,0)),"?"))</f>
        <v/>
      </c>
      <c r="S24" s="11">
        <f>IF(OR(L24="",M24=""),"",IFERROR(INDEX('Evaluation table'!$B$4:$F$8,MATCH(TRIM(SUBSTITUTE(L24,"’","'")),'Evaluation table'!$A$4:$A$8,0),MATCH(TRIM(SUBSTITUTE(M24,"’","'")),'Evaluation table'!$B$3:$F$3,0)),"?"))</f>
        <v/>
      </c>
    </row>
    <row r="25">
      <c r="A25" s="2" t="n">
        <v>7</v>
      </c>
      <c r="B25" s="10" t="inlineStr">
        <is>
          <t>I expect it</t>
        </is>
      </c>
      <c r="C25" s="10" t="inlineStr">
        <is>
          <t>I dislike it</t>
        </is>
      </c>
      <c r="D25" s="10" t="inlineStr">
        <is>
          <t>I expect it</t>
        </is>
      </c>
      <c r="E25" s="10" t="inlineStr">
        <is>
          <t>I dislike it</t>
        </is>
      </c>
      <c r="F25" s="10" t="inlineStr">
        <is>
          <t>I like it</t>
        </is>
      </c>
      <c r="G25" s="10" t="inlineStr">
        <is>
          <t>I can tolerate it</t>
        </is>
      </c>
      <c r="H25" s="10" t="inlineStr">
        <is>
          <t>I can tolerate it</t>
        </is>
      </c>
      <c r="I25" s="10" t="inlineStr">
        <is>
          <t>I'm neutral</t>
        </is>
      </c>
      <c r="J25" s="10" t="inlineStr">
        <is>
          <t>I like it</t>
        </is>
      </c>
      <c r="K25" s="10" t="inlineStr">
        <is>
          <t>I'm neutral</t>
        </is>
      </c>
      <c r="L25" s="10" t="inlineStr">
        <is>
          <t>I dislike it</t>
        </is>
      </c>
      <c r="M25" s="10" t="inlineStr">
        <is>
          <t>I like it</t>
        </is>
      </c>
      <c r="N25" s="11">
        <f>IF(OR(B25="",C25=""),"",IFERROR(INDEX('Evaluation table'!$B$4:$F$8,MATCH(TRIM(SUBSTITUTE(B25,"’","'")),'Evaluation table'!$A$4:$A$8,0),MATCH(TRIM(SUBSTITUTE(C25,"’","'")),'Evaluation table'!$B$3:$F$3,0)),"?"))</f>
        <v/>
      </c>
      <c r="O25" s="11">
        <f>IF(OR(D25="",E25=""),"",IFERROR(INDEX('Evaluation table'!$B$4:$F$8,MATCH(TRIM(SUBSTITUTE(D25,"’","'")),'Evaluation table'!$A$4:$A$8,0),MATCH(TRIM(SUBSTITUTE(E25,"’","'")),'Evaluation table'!$B$3:$F$3,0)),"?"))</f>
        <v/>
      </c>
      <c r="P25" s="11">
        <f>IF(OR(F25="",G25=""),"",IFERROR(INDEX('Evaluation table'!$B$4:$F$8,MATCH(TRIM(SUBSTITUTE(F25,"’","'")),'Evaluation table'!$A$4:$A$8,0),MATCH(TRIM(SUBSTITUTE(G25,"’","'")),'Evaluation table'!$B$3:$F$3,0)),"?"))</f>
        <v/>
      </c>
      <c r="Q25" s="11">
        <f>IF(OR(H25="",I25=""),"",IFERROR(INDEX('Evaluation table'!$B$4:$F$8,MATCH(TRIM(SUBSTITUTE(H25,"’","'")),'Evaluation table'!$A$4:$A$8,0),MATCH(TRIM(SUBSTITUTE(I25,"’","'")),'Evaluation table'!$B$3:$F$3,0)),"?"))</f>
        <v/>
      </c>
      <c r="R25" s="11">
        <f>IF(OR(J25="",K25=""),"",IFERROR(INDEX('Evaluation table'!$B$4:$F$8,MATCH(TRIM(SUBSTITUTE(J25,"’","'")),'Evaluation table'!$A$4:$A$8,0),MATCH(TRIM(SUBSTITUTE(K25,"’","'")),'Evaluation table'!$B$3:$F$3,0)),"?"))</f>
        <v/>
      </c>
      <c r="S25" s="11">
        <f>IF(OR(L25="",M25=""),"",IFERROR(INDEX('Evaluation table'!$B$4:$F$8,MATCH(TRIM(SUBSTITUTE(L25,"’","'")),'Evaluation table'!$A$4:$A$8,0),MATCH(TRIM(SUBSTITUTE(M25,"’","'")),'Evaluation table'!$B$3:$F$3,0)),"?"))</f>
        <v/>
      </c>
    </row>
    <row r="26">
      <c r="A26" s="2" t="n">
        <v>8</v>
      </c>
      <c r="B26" s="10" t="inlineStr">
        <is>
          <t>I like it</t>
        </is>
      </c>
      <c r="C26" s="10" t="inlineStr">
        <is>
          <t>I dislike it</t>
        </is>
      </c>
      <c r="D26" s="10" t="inlineStr">
        <is>
          <t>I can tolerate it</t>
        </is>
      </c>
      <c r="E26" s="10" t="inlineStr">
        <is>
          <t>I'm neutral</t>
        </is>
      </c>
      <c r="F26" s="10" t="inlineStr">
        <is>
          <t>I like it</t>
        </is>
      </c>
      <c r="G26" s="10" t="inlineStr">
        <is>
          <t>I dislike it</t>
        </is>
      </c>
      <c r="H26" s="10" t="inlineStr">
        <is>
          <t>I like it</t>
        </is>
      </c>
      <c r="I26" s="10" t="inlineStr">
        <is>
          <t>I expect it</t>
        </is>
      </c>
      <c r="J26" s="10" t="inlineStr">
        <is>
          <t>I'm neutral</t>
        </is>
      </c>
      <c r="K26" s="10" t="inlineStr">
        <is>
          <t>I can tolerate it</t>
        </is>
      </c>
      <c r="L26" s="10" t="inlineStr">
        <is>
          <t>I'm neutral</t>
        </is>
      </c>
      <c r="M26" s="10" t="inlineStr">
        <is>
          <t>I like it</t>
        </is>
      </c>
      <c r="N26" s="11">
        <f>IF(OR(B26="",C26=""),"",IFERROR(INDEX('Evaluation table'!$B$4:$F$8,MATCH(TRIM(SUBSTITUTE(B26,"’","'")),'Evaluation table'!$A$4:$A$8,0),MATCH(TRIM(SUBSTITUTE(C26,"’","'")),'Evaluation table'!$B$3:$F$3,0)),"?"))</f>
        <v/>
      </c>
      <c r="O26" s="11">
        <f>IF(OR(D26="",E26=""),"",IFERROR(INDEX('Evaluation table'!$B$4:$F$8,MATCH(TRIM(SUBSTITUTE(D26,"’","'")),'Evaluation table'!$A$4:$A$8,0),MATCH(TRIM(SUBSTITUTE(E26,"’","'")),'Evaluation table'!$B$3:$F$3,0)),"?"))</f>
        <v/>
      </c>
      <c r="P26" s="11">
        <f>IF(OR(F26="",G26=""),"",IFERROR(INDEX('Evaluation table'!$B$4:$F$8,MATCH(TRIM(SUBSTITUTE(F26,"’","'")),'Evaluation table'!$A$4:$A$8,0),MATCH(TRIM(SUBSTITUTE(G26,"’","'")),'Evaluation table'!$B$3:$F$3,0)),"?"))</f>
        <v/>
      </c>
      <c r="Q26" s="11">
        <f>IF(OR(H26="",I26=""),"",IFERROR(INDEX('Evaluation table'!$B$4:$F$8,MATCH(TRIM(SUBSTITUTE(H26,"’","'")),'Evaluation table'!$A$4:$A$8,0),MATCH(TRIM(SUBSTITUTE(I26,"’","'")),'Evaluation table'!$B$3:$F$3,0)),"?"))</f>
        <v/>
      </c>
      <c r="R26" s="11">
        <f>IF(OR(J26="",K26=""),"",IFERROR(INDEX('Evaluation table'!$B$4:$F$8,MATCH(TRIM(SUBSTITUTE(J26,"’","'")),'Evaluation table'!$A$4:$A$8,0),MATCH(TRIM(SUBSTITUTE(K26,"’","'")),'Evaluation table'!$B$3:$F$3,0)),"?"))</f>
        <v/>
      </c>
      <c r="S26" s="11">
        <f>IF(OR(L26="",M26=""),"",IFERROR(INDEX('Evaluation table'!$B$4:$F$8,MATCH(TRIM(SUBSTITUTE(L26,"’","'")),'Evaluation table'!$A$4:$A$8,0),MATCH(TRIM(SUBSTITUTE(M26,"’","'")),'Evaluation table'!$B$3:$F$3,0)),"?"))</f>
        <v/>
      </c>
    </row>
    <row r="27">
      <c r="A27" s="2" t="n">
        <v>9</v>
      </c>
      <c r="B27" s="10" t="inlineStr">
        <is>
          <t>I can tolerate it</t>
        </is>
      </c>
      <c r="C27" s="10" t="inlineStr">
        <is>
          <t>I dislike it</t>
        </is>
      </c>
      <c r="D27" s="10" t="inlineStr">
        <is>
          <t>I like it</t>
        </is>
      </c>
      <c r="E27" s="10" t="inlineStr">
        <is>
          <t>I dislike it</t>
        </is>
      </c>
      <c r="F27" s="10" t="inlineStr">
        <is>
          <t>I like it</t>
        </is>
      </c>
      <c r="G27" s="10" t="inlineStr">
        <is>
          <t>I dislike it</t>
        </is>
      </c>
      <c r="H27" s="10" t="inlineStr">
        <is>
          <t>I'm neutral</t>
        </is>
      </c>
      <c r="I27" s="10" t="inlineStr">
        <is>
          <t>I like it</t>
        </is>
      </c>
      <c r="J27" s="10" t="inlineStr">
        <is>
          <t>I'm neutral</t>
        </is>
      </c>
      <c r="K27" s="10" t="inlineStr">
        <is>
          <t>I'm neutral</t>
        </is>
      </c>
      <c r="L27" s="10" t="inlineStr">
        <is>
          <t>I dislike it</t>
        </is>
      </c>
      <c r="M27" s="10" t="inlineStr">
        <is>
          <t>I can tolerate it</t>
        </is>
      </c>
      <c r="N27" s="11">
        <f>IF(OR(B27="",C27=""),"",IFERROR(INDEX('Evaluation table'!$B$4:$F$8,MATCH(TRIM(SUBSTITUTE(B27,"’","'")),'Evaluation table'!$A$4:$A$8,0),MATCH(TRIM(SUBSTITUTE(C27,"’","'")),'Evaluation table'!$B$3:$F$3,0)),"?"))</f>
        <v/>
      </c>
      <c r="O27" s="11">
        <f>IF(OR(D27="",E27=""),"",IFERROR(INDEX('Evaluation table'!$B$4:$F$8,MATCH(TRIM(SUBSTITUTE(D27,"’","'")),'Evaluation table'!$A$4:$A$8,0),MATCH(TRIM(SUBSTITUTE(E27,"’","'")),'Evaluation table'!$B$3:$F$3,0)),"?"))</f>
        <v/>
      </c>
      <c r="P27" s="11">
        <f>IF(OR(F27="",G27=""),"",IFERROR(INDEX('Evaluation table'!$B$4:$F$8,MATCH(TRIM(SUBSTITUTE(F27,"’","'")),'Evaluation table'!$A$4:$A$8,0),MATCH(TRIM(SUBSTITUTE(G27,"’","'")),'Evaluation table'!$B$3:$F$3,0)),"?"))</f>
        <v/>
      </c>
      <c r="Q27" s="11">
        <f>IF(OR(H27="",I27=""),"",IFERROR(INDEX('Evaluation table'!$B$4:$F$8,MATCH(TRIM(SUBSTITUTE(H27,"’","'")),'Evaluation table'!$A$4:$A$8,0),MATCH(TRIM(SUBSTITUTE(I27,"’","'")),'Evaluation table'!$B$3:$F$3,0)),"?"))</f>
        <v/>
      </c>
      <c r="R27" s="11">
        <f>IF(OR(J27="",K27=""),"",IFERROR(INDEX('Evaluation table'!$B$4:$F$8,MATCH(TRIM(SUBSTITUTE(J27,"’","'")),'Evaluation table'!$A$4:$A$8,0),MATCH(TRIM(SUBSTITUTE(K27,"’","'")),'Evaluation table'!$B$3:$F$3,0)),"?"))</f>
        <v/>
      </c>
      <c r="S27" s="11">
        <f>IF(OR(L27="",M27=""),"",IFERROR(INDEX('Evaluation table'!$B$4:$F$8,MATCH(TRIM(SUBSTITUTE(L27,"’","'")),'Evaluation table'!$A$4:$A$8,0),MATCH(TRIM(SUBSTITUTE(M27,"’","'")),'Evaluation table'!$B$3:$F$3,0)),"?"))</f>
        <v/>
      </c>
    </row>
    <row r="28">
      <c r="A28" s="2" t="n">
        <v>10</v>
      </c>
      <c r="B28" s="10" t="inlineStr">
        <is>
          <t>I'm neutral</t>
        </is>
      </c>
      <c r="C28" s="10" t="inlineStr">
        <is>
          <t>I can tolerate it</t>
        </is>
      </c>
      <c r="D28" s="10" t="inlineStr">
        <is>
          <t>I like it</t>
        </is>
      </c>
      <c r="E28" s="10" t="inlineStr">
        <is>
          <t>I dislike it</t>
        </is>
      </c>
      <c r="F28" s="10" t="inlineStr">
        <is>
          <t>I like it</t>
        </is>
      </c>
      <c r="G28" s="10" t="inlineStr">
        <is>
          <t>I can tolerate it</t>
        </is>
      </c>
      <c r="H28" s="10" t="inlineStr">
        <is>
          <t>I'm neutral</t>
        </is>
      </c>
      <c r="I28" s="10" t="inlineStr">
        <is>
          <t>I'm neutral</t>
        </is>
      </c>
      <c r="J28" s="10" t="inlineStr">
        <is>
          <t>I'm neutral</t>
        </is>
      </c>
      <c r="K28" s="10" t="inlineStr">
        <is>
          <t>I'm neutral</t>
        </is>
      </c>
      <c r="L28" s="10" t="inlineStr">
        <is>
          <t>I expect it</t>
        </is>
      </c>
      <c r="M28" s="10" t="inlineStr">
        <is>
          <t>I'm neutral</t>
        </is>
      </c>
      <c r="N28" s="11">
        <f>IF(OR(B28="",C28=""),"",IFERROR(INDEX('Evaluation table'!$B$4:$F$8,MATCH(TRIM(SUBSTITUTE(B28,"’","'")),'Evaluation table'!$A$4:$A$8,0),MATCH(TRIM(SUBSTITUTE(C28,"’","'")),'Evaluation table'!$B$3:$F$3,0)),"?"))</f>
        <v/>
      </c>
      <c r="O28" s="11">
        <f>IF(OR(D28="",E28=""),"",IFERROR(INDEX('Evaluation table'!$B$4:$F$8,MATCH(TRIM(SUBSTITUTE(D28,"’","'")),'Evaluation table'!$A$4:$A$8,0),MATCH(TRIM(SUBSTITUTE(E28,"’","'")),'Evaluation table'!$B$3:$F$3,0)),"?"))</f>
        <v/>
      </c>
      <c r="P28" s="11">
        <f>IF(OR(F28="",G28=""),"",IFERROR(INDEX('Evaluation table'!$B$4:$F$8,MATCH(TRIM(SUBSTITUTE(F28,"’","'")),'Evaluation table'!$A$4:$A$8,0),MATCH(TRIM(SUBSTITUTE(G28,"’","'")),'Evaluation table'!$B$3:$F$3,0)),"?"))</f>
        <v/>
      </c>
      <c r="Q28" s="11">
        <f>IF(OR(H28="",I28=""),"",IFERROR(INDEX('Evaluation table'!$B$4:$F$8,MATCH(TRIM(SUBSTITUTE(H28,"’","'")),'Evaluation table'!$A$4:$A$8,0),MATCH(TRIM(SUBSTITUTE(I28,"’","'")),'Evaluation table'!$B$3:$F$3,0)),"?"))</f>
        <v/>
      </c>
      <c r="R28" s="11">
        <f>IF(OR(J28="",K28=""),"",IFERROR(INDEX('Evaluation table'!$B$4:$F$8,MATCH(TRIM(SUBSTITUTE(J28,"’","'")),'Evaluation table'!$A$4:$A$8,0),MATCH(TRIM(SUBSTITUTE(K28,"’","'")),'Evaluation table'!$B$3:$F$3,0)),"?"))</f>
        <v/>
      </c>
      <c r="S28" s="11">
        <f>IF(OR(L28="",M28=""),"",IFERROR(INDEX('Evaluation table'!$B$4:$F$8,MATCH(TRIM(SUBSTITUTE(L28,"’","'")),'Evaluation table'!$A$4:$A$8,0),MATCH(TRIM(SUBSTITUTE(M28,"’","'")),'Evaluation table'!$B$3:$F$3,0)),"?"))</f>
        <v/>
      </c>
    </row>
    <row r="29">
      <c r="A29" s="2" t="n">
        <v>11</v>
      </c>
      <c r="B29" s="10" t="inlineStr">
        <is>
          <t>I'm neutral</t>
        </is>
      </c>
      <c r="C29" s="10" t="inlineStr">
        <is>
          <t>I dislike it</t>
        </is>
      </c>
      <c r="D29" s="10" t="inlineStr">
        <is>
          <t>I like it</t>
        </is>
      </c>
      <c r="E29" s="10" t="inlineStr">
        <is>
          <t>I'm neutral</t>
        </is>
      </c>
      <c r="F29" s="10" t="inlineStr">
        <is>
          <t>I'm neutral</t>
        </is>
      </c>
      <c r="G29" s="10" t="inlineStr">
        <is>
          <t>I'm neutral</t>
        </is>
      </c>
      <c r="H29" s="10" t="inlineStr">
        <is>
          <t>I like it</t>
        </is>
      </c>
      <c r="I29" s="10" t="inlineStr">
        <is>
          <t>I'm neutral</t>
        </is>
      </c>
      <c r="J29" s="10" t="inlineStr">
        <is>
          <t>I like it</t>
        </is>
      </c>
      <c r="K29" s="10" t="inlineStr">
        <is>
          <t>I dislike it</t>
        </is>
      </c>
      <c r="L29" s="10" t="inlineStr">
        <is>
          <t>I dislike it</t>
        </is>
      </c>
      <c r="M29" s="10" t="inlineStr">
        <is>
          <t>I'm neutral</t>
        </is>
      </c>
      <c r="N29" s="11">
        <f>IF(OR(B29="",C29=""),"",IFERROR(INDEX('Evaluation table'!$B$4:$F$8,MATCH(TRIM(SUBSTITUTE(B29,"’","'")),'Evaluation table'!$A$4:$A$8,0),MATCH(TRIM(SUBSTITUTE(C29,"’","'")),'Evaluation table'!$B$3:$F$3,0)),"?"))</f>
        <v/>
      </c>
      <c r="O29" s="11">
        <f>IF(OR(D29="",E29=""),"",IFERROR(INDEX('Evaluation table'!$B$4:$F$8,MATCH(TRIM(SUBSTITUTE(D29,"’","'")),'Evaluation table'!$A$4:$A$8,0),MATCH(TRIM(SUBSTITUTE(E29,"’","'")),'Evaluation table'!$B$3:$F$3,0)),"?"))</f>
        <v/>
      </c>
      <c r="P29" s="11">
        <f>IF(OR(F29="",G29=""),"",IFERROR(INDEX('Evaluation table'!$B$4:$F$8,MATCH(TRIM(SUBSTITUTE(F29,"’","'")),'Evaluation table'!$A$4:$A$8,0),MATCH(TRIM(SUBSTITUTE(G29,"’","'")),'Evaluation table'!$B$3:$F$3,0)),"?"))</f>
        <v/>
      </c>
      <c r="Q29" s="11">
        <f>IF(OR(H29="",I29=""),"",IFERROR(INDEX('Evaluation table'!$B$4:$F$8,MATCH(TRIM(SUBSTITUTE(H29,"’","'")),'Evaluation table'!$A$4:$A$8,0),MATCH(TRIM(SUBSTITUTE(I29,"’","'")),'Evaluation table'!$B$3:$F$3,0)),"?"))</f>
        <v/>
      </c>
      <c r="R29" s="11">
        <f>IF(OR(J29="",K29=""),"",IFERROR(INDEX('Evaluation table'!$B$4:$F$8,MATCH(TRIM(SUBSTITUTE(J29,"’","'")),'Evaluation table'!$A$4:$A$8,0),MATCH(TRIM(SUBSTITUTE(K29,"’","'")),'Evaluation table'!$B$3:$F$3,0)),"?"))</f>
        <v/>
      </c>
      <c r="S29" s="11">
        <f>IF(OR(L29="",M29=""),"",IFERROR(INDEX('Evaluation table'!$B$4:$F$8,MATCH(TRIM(SUBSTITUTE(L29,"’","'")),'Evaluation table'!$A$4:$A$8,0),MATCH(TRIM(SUBSTITUTE(M29,"’","'")),'Evaluation table'!$B$3:$F$3,0)),"?"))</f>
        <v/>
      </c>
    </row>
    <row r="30">
      <c r="A30" s="2" t="n">
        <v>12</v>
      </c>
      <c r="B30" s="10" t="inlineStr">
        <is>
          <t>I expect it</t>
        </is>
      </c>
      <c r="C30" s="10" t="inlineStr">
        <is>
          <t>I dislike it</t>
        </is>
      </c>
      <c r="D30" s="10" t="inlineStr">
        <is>
          <t>I like it</t>
        </is>
      </c>
      <c r="E30" s="10" t="inlineStr">
        <is>
          <t>I can tolerate it</t>
        </is>
      </c>
      <c r="F30" s="10" t="inlineStr">
        <is>
          <t>I like it</t>
        </is>
      </c>
      <c r="G30" s="10" t="inlineStr">
        <is>
          <t>I'm neutral</t>
        </is>
      </c>
      <c r="H30" s="10" t="inlineStr">
        <is>
          <t>I like it</t>
        </is>
      </c>
      <c r="I30" s="10" t="inlineStr">
        <is>
          <t>I can tolerate it</t>
        </is>
      </c>
      <c r="J30" s="10" t="inlineStr">
        <is>
          <t>I like it</t>
        </is>
      </c>
      <c r="K30" s="10" t="inlineStr">
        <is>
          <t>I dislike it</t>
        </is>
      </c>
      <c r="L30" s="10" t="inlineStr">
        <is>
          <t>I can tolerate it</t>
        </is>
      </c>
      <c r="M30" s="10" t="inlineStr">
        <is>
          <t>I dislike it</t>
        </is>
      </c>
      <c r="N30" s="11">
        <f>IF(OR(B30="",C30=""),"",IFERROR(INDEX('Evaluation table'!$B$4:$F$8,MATCH(TRIM(SUBSTITUTE(B30,"’","'")),'Evaluation table'!$A$4:$A$8,0),MATCH(TRIM(SUBSTITUTE(C30,"’","'")),'Evaluation table'!$B$3:$F$3,0)),"?"))</f>
        <v/>
      </c>
      <c r="O30" s="11">
        <f>IF(OR(D30="",E30=""),"",IFERROR(INDEX('Evaluation table'!$B$4:$F$8,MATCH(TRIM(SUBSTITUTE(D30,"’","'")),'Evaluation table'!$A$4:$A$8,0),MATCH(TRIM(SUBSTITUTE(E30,"’","'")),'Evaluation table'!$B$3:$F$3,0)),"?"))</f>
        <v/>
      </c>
      <c r="P30" s="11">
        <f>IF(OR(F30="",G30=""),"",IFERROR(INDEX('Evaluation table'!$B$4:$F$8,MATCH(TRIM(SUBSTITUTE(F30,"’","'")),'Evaluation table'!$A$4:$A$8,0),MATCH(TRIM(SUBSTITUTE(G30,"’","'")),'Evaluation table'!$B$3:$F$3,0)),"?"))</f>
        <v/>
      </c>
      <c r="Q30" s="11">
        <f>IF(OR(H30="",I30=""),"",IFERROR(INDEX('Evaluation table'!$B$4:$F$8,MATCH(TRIM(SUBSTITUTE(H30,"’","'")),'Evaluation table'!$A$4:$A$8,0),MATCH(TRIM(SUBSTITUTE(I30,"’","'")),'Evaluation table'!$B$3:$F$3,0)),"?"))</f>
        <v/>
      </c>
      <c r="R30" s="11">
        <f>IF(OR(J30="",K30=""),"",IFERROR(INDEX('Evaluation table'!$B$4:$F$8,MATCH(TRIM(SUBSTITUTE(J30,"’","'")),'Evaluation table'!$A$4:$A$8,0),MATCH(TRIM(SUBSTITUTE(K30,"’","'")),'Evaluation table'!$B$3:$F$3,0)),"?"))</f>
        <v/>
      </c>
      <c r="S30" s="11">
        <f>IF(OR(L30="",M30=""),"",IFERROR(INDEX('Evaluation table'!$B$4:$F$8,MATCH(TRIM(SUBSTITUTE(L30,"’","'")),'Evaluation table'!$A$4:$A$8,0),MATCH(TRIM(SUBSTITUTE(M30,"’","'")),'Evaluation table'!$B$3:$F$3,0)),"?"))</f>
        <v/>
      </c>
    </row>
    <row r="31">
      <c r="A31" s="2" t="n">
        <v>13</v>
      </c>
      <c r="B31" s="10" t="inlineStr">
        <is>
          <t>I like it</t>
        </is>
      </c>
      <c r="C31" s="10" t="inlineStr">
        <is>
          <t>I can tolerate it</t>
        </is>
      </c>
      <c r="D31" s="10" t="inlineStr">
        <is>
          <t>I like it</t>
        </is>
      </c>
      <c r="E31" s="10" t="inlineStr">
        <is>
          <t>I'm neutral</t>
        </is>
      </c>
      <c r="F31" s="10" t="inlineStr">
        <is>
          <t>I dislike it</t>
        </is>
      </c>
      <c r="G31" s="10" t="inlineStr">
        <is>
          <t>I can tolerate it</t>
        </is>
      </c>
      <c r="H31" s="10" t="inlineStr">
        <is>
          <t>I'm neutral</t>
        </is>
      </c>
      <c r="I31" s="10" t="inlineStr">
        <is>
          <t>I can tolerate it</t>
        </is>
      </c>
      <c r="J31" s="10" t="inlineStr">
        <is>
          <t>I can tolerate it</t>
        </is>
      </c>
      <c r="K31" s="10" t="inlineStr">
        <is>
          <t>I can tolerate it</t>
        </is>
      </c>
      <c r="L31" s="10" t="inlineStr">
        <is>
          <t>I expect it</t>
        </is>
      </c>
      <c r="M31" s="10" t="inlineStr">
        <is>
          <t>I expect it</t>
        </is>
      </c>
      <c r="N31" s="11">
        <f>IF(OR(B31="",C31=""),"",IFERROR(INDEX('Evaluation table'!$B$4:$F$8,MATCH(TRIM(SUBSTITUTE(B31,"’","'")),'Evaluation table'!$A$4:$A$8,0),MATCH(TRIM(SUBSTITUTE(C31,"’","'")),'Evaluation table'!$B$3:$F$3,0)),"?"))</f>
        <v/>
      </c>
      <c r="O31" s="11">
        <f>IF(OR(D31="",E31=""),"",IFERROR(INDEX('Evaluation table'!$B$4:$F$8,MATCH(TRIM(SUBSTITUTE(D31,"’","'")),'Evaluation table'!$A$4:$A$8,0),MATCH(TRIM(SUBSTITUTE(E31,"’","'")),'Evaluation table'!$B$3:$F$3,0)),"?"))</f>
        <v/>
      </c>
      <c r="P31" s="11">
        <f>IF(OR(F31="",G31=""),"",IFERROR(INDEX('Evaluation table'!$B$4:$F$8,MATCH(TRIM(SUBSTITUTE(F31,"’","'")),'Evaluation table'!$A$4:$A$8,0),MATCH(TRIM(SUBSTITUTE(G31,"’","'")),'Evaluation table'!$B$3:$F$3,0)),"?"))</f>
        <v/>
      </c>
      <c r="Q31" s="11">
        <f>IF(OR(H31="",I31=""),"",IFERROR(INDEX('Evaluation table'!$B$4:$F$8,MATCH(TRIM(SUBSTITUTE(H31,"’","'")),'Evaluation table'!$A$4:$A$8,0),MATCH(TRIM(SUBSTITUTE(I31,"’","'")),'Evaluation table'!$B$3:$F$3,0)),"?"))</f>
        <v/>
      </c>
      <c r="R31" s="11">
        <f>IF(OR(J31="",K31=""),"",IFERROR(INDEX('Evaluation table'!$B$4:$F$8,MATCH(TRIM(SUBSTITUTE(J31,"’","'")),'Evaluation table'!$A$4:$A$8,0),MATCH(TRIM(SUBSTITUTE(K31,"’","'")),'Evaluation table'!$B$3:$F$3,0)),"?"))</f>
        <v/>
      </c>
      <c r="S31" s="11">
        <f>IF(OR(L31="",M31=""),"",IFERROR(INDEX('Evaluation table'!$B$4:$F$8,MATCH(TRIM(SUBSTITUTE(L31,"’","'")),'Evaluation table'!$A$4:$A$8,0),MATCH(TRIM(SUBSTITUTE(M31,"’","'")),'Evaluation table'!$B$3:$F$3,0)),"?"))</f>
        <v/>
      </c>
    </row>
    <row r="32">
      <c r="A32" s="2" t="n">
        <v>14</v>
      </c>
      <c r="B32" s="10" t="inlineStr">
        <is>
          <t>I'm neutral</t>
        </is>
      </c>
      <c r="C32" s="10" t="inlineStr">
        <is>
          <t>I dislike it</t>
        </is>
      </c>
      <c r="D32" s="10" t="inlineStr">
        <is>
          <t>I expect it</t>
        </is>
      </c>
      <c r="E32" s="10" t="inlineStr">
        <is>
          <t>I dislike it</t>
        </is>
      </c>
      <c r="F32" s="10" t="inlineStr">
        <is>
          <t>I'm neutral</t>
        </is>
      </c>
      <c r="G32" s="10" t="inlineStr">
        <is>
          <t>I'm neutral</t>
        </is>
      </c>
      <c r="H32" s="10" t="inlineStr">
        <is>
          <t>I like it</t>
        </is>
      </c>
      <c r="I32" s="10" t="inlineStr">
        <is>
          <t>I dislike it</t>
        </is>
      </c>
      <c r="J32" s="10" t="inlineStr">
        <is>
          <t>I'm neutral</t>
        </is>
      </c>
      <c r="K32" s="10" t="inlineStr">
        <is>
          <t>I'm neutral</t>
        </is>
      </c>
      <c r="L32" s="10" t="inlineStr">
        <is>
          <t>I like it</t>
        </is>
      </c>
      <c r="M32" s="10" t="inlineStr">
        <is>
          <t>I'm neutral</t>
        </is>
      </c>
      <c r="N32" s="11">
        <f>IF(OR(B32="",C32=""),"",IFERROR(INDEX('Evaluation table'!$B$4:$F$8,MATCH(TRIM(SUBSTITUTE(B32,"’","'")),'Evaluation table'!$A$4:$A$8,0),MATCH(TRIM(SUBSTITUTE(C32,"’","'")),'Evaluation table'!$B$3:$F$3,0)),"?"))</f>
        <v/>
      </c>
      <c r="O32" s="11">
        <f>IF(OR(D32="",E32=""),"",IFERROR(INDEX('Evaluation table'!$B$4:$F$8,MATCH(TRIM(SUBSTITUTE(D32,"’","'")),'Evaluation table'!$A$4:$A$8,0),MATCH(TRIM(SUBSTITUTE(E32,"’","'")),'Evaluation table'!$B$3:$F$3,0)),"?"))</f>
        <v/>
      </c>
      <c r="P32" s="11">
        <f>IF(OR(F32="",G32=""),"",IFERROR(INDEX('Evaluation table'!$B$4:$F$8,MATCH(TRIM(SUBSTITUTE(F32,"’","'")),'Evaluation table'!$A$4:$A$8,0),MATCH(TRIM(SUBSTITUTE(G32,"’","'")),'Evaluation table'!$B$3:$F$3,0)),"?"))</f>
        <v/>
      </c>
      <c r="Q32" s="11">
        <f>IF(OR(H32="",I32=""),"",IFERROR(INDEX('Evaluation table'!$B$4:$F$8,MATCH(TRIM(SUBSTITUTE(H32,"’","'")),'Evaluation table'!$A$4:$A$8,0),MATCH(TRIM(SUBSTITUTE(I32,"’","'")),'Evaluation table'!$B$3:$F$3,0)),"?"))</f>
        <v/>
      </c>
      <c r="R32" s="11">
        <f>IF(OR(J32="",K32=""),"",IFERROR(INDEX('Evaluation table'!$B$4:$F$8,MATCH(TRIM(SUBSTITUTE(J32,"’","'")),'Evaluation table'!$A$4:$A$8,0),MATCH(TRIM(SUBSTITUTE(K32,"’","'")),'Evaluation table'!$B$3:$F$3,0)),"?"))</f>
        <v/>
      </c>
      <c r="S32" s="11">
        <f>IF(OR(L32="",M32=""),"",IFERROR(INDEX('Evaluation table'!$B$4:$F$8,MATCH(TRIM(SUBSTITUTE(L32,"’","'")),'Evaluation table'!$A$4:$A$8,0),MATCH(TRIM(SUBSTITUTE(M32,"’","'")),'Evaluation table'!$B$3:$F$3,0)),"?"))</f>
        <v/>
      </c>
    </row>
    <row r="33">
      <c r="A33" s="2" t="n">
        <v>15</v>
      </c>
      <c r="B33" s="10" t="inlineStr">
        <is>
          <t>I like it</t>
        </is>
      </c>
      <c r="C33" s="10" t="inlineStr">
        <is>
          <t>I dislike it</t>
        </is>
      </c>
      <c r="D33" s="10" t="inlineStr">
        <is>
          <t>I expect it</t>
        </is>
      </c>
      <c r="E33" s="10" t="inlineStr">
        <is>
          <t>I dislike it</t>
        </is>
      </c>
      <c r="F33" s="10" t="inlineStr">
        <is>
          <t>I expect it</t>
        </is>
      </c>
      <c r="G33" s="10" t="inlineStr">
        <is>
          <t>I dislike it</t>
        </is>
      </c>
      <c r="H33" s="10" t="inlineStr">
        <is>
          <t>I dislike it</t>
        </is>
      </c>
      <c r="I33" s="10" t="inlineStr">
        <is>
          <t>I'm neutral</t>
        </is>
      </c>
      <c r="J33" s="10" t="inlineStr">
        <is>
          <t>I'm neutral</t>
        </is>
      </c>
      <c r="K33" s="10" t="inlineStr">
        <is>
          <t>I can tolerate it</t>
        </is>
      </c>
      <c r="L33" s="10" t="inlineStr">
        <is>
          <t>I dislike it</t>
        </is>
      </c>
      <c r="M33" s="10" t="inlineStr">
        <is>
          <t>I like it</t>
        </is>
      </c>
      <c r="N33" s="11">
        <f>IF(OR(B33="",C33=""),"",IFERROR(INDEX('Evaluation table'!$B$4:$F$8,MATCH(TRIM(SUBSTITUTE(B33,"’","'")),'Evaluation table'!$A$4:$A$8,0),MATCH(TRIM(SUBSTITUTE(C33,"’","'")),'Evaluation table'!$B$3:$F$3,0)),"?"))</f>
        <v/>
      </c>
      <c r="O33" s="11">
        <f>IF(OR(D33="",E33=""),"",IFERROR(INDEX('Evaluation table'!$B$4:$F$8,MATCH(TRIM(SUBSTITUTE(D33,"’","'")),'Evaluation table'!$A$4:$A$8,0),MATCH(TRIM(SUBSTITUTE(E33,"’","'")),'Evaluation table'!$B$3:$F$3,0)),"?"))</f>
        <v/>
      </c>
      <c r="P33" s="11">
        <f>IF(OR(F33="",G33=""),"",IFERROR(INDEX('Evaluation table'!$B$4:$F$8,MATCH(TRIM(SUBSTITUTE(F33,"’","'")),'Evaluation table'!$A$4:$A$8,0),MATCH(TRIM(SUBSTITUTE(G33,"’","'")),'Evaluation table'!$B$3:$F$3,0)),"?"))</f>
        <v/>
      </c>
      <c r="Q33" s="11">
        <f>IF(OR(H33="",I33=""),"",IFERROR(INDEX('Evaluation table'!$B$4:$F$8,MATCH(TRIM(SUBSTITUTE(H33,"’","'")),'Evaluation table'!$A$4:$A$8,0),MATCH(TRIM(SUBSTITUTE(I33,"’","'")),'Evaluation table'!$B$3:$F$3,0)),"?"))</f>
        <v/>
      </c>
      <c r="R33" s="11">
        <f>IF(OR(J33="",K33=""),"",IFERROR(INDEX('Evaluation table'!$B$4:$F$8,MATCH(TRIM(SUBSTITUTE(J33,"’","'")),'Evaluation table'!$A$4:$A$8,0),MATCH(TRIM(SUBSTITUTE(K33,"’","'")),'Evaluation table'!$B$3:$F$3,0)),"?"))</f>
        <v/>
      </c>
      <c r="S33" s="11">
        <f>IF(OR(L33="",M33=""),"",IFERROR(INDEX('Evaluation table'!$B$4:$F$8,MATCH(TRIM(SUBSTITUTE(L33,"’","'")),'Evaluation table'!$A$4:$A$8,0),MATCH(TRIM(SUBSTITUTE(M33,"’","'")),'Evaluation table'!$B$3:$F$3,0)),"?"))</f>
        <v/>
      </c>
    </row>
    <row r="34">
      <c r="A34" s="2" t="n">
        <v>16</v>
      </c>
      <c r="B34" s="10" t="inlineStr">
        <is>
          <t>I'm neutral</t>
        </is>
      </c>
      <c r="C34" s="10" t="inlineStr">
        <is>
          <t>I dislike it</t>
        </is>
      </c>
      <c r="D34" s="10" t="inlineStr">
        <is>
          <t>I can tolerate it</t>
        </is>
      </c>
      <c r="E34" s="10" t="inlineStr">
        <is>
          <t>I can tolerate it</t>
        </is>
      </c>
      <c r="F34" s="10" t="inlineStr">
        <is>
          <t>I like it</t>
        </is>
      </c>
      <c r="G34" s="10" t="inlineStr">
        <is>
          <t>I'm neutral</t>
        </is>
      </c>
      <c r="H34" s="10" t="inlineStr">
        <is>
          <t>I can tolerate it</t>
        </is>
      </c>
      <c r="I34" s="10" t="inlineStr">
        <is>
          <t>I can tolerate it</t>
        </is>
      </c>
      <c r="J34" s="10" t="inlineStr">
        <is>
          <t>I like it</t>
        </is>
      </c>
      <c r="K34" s="10" t="inlineStr">
        <is>
          <t>I expect it</t>
        </is>
      </c>
      <c r="L34" s="10" t="inlineStr">
        <is>
          <t>I'm neutral</t>
        </is>
      </c>
      <c r="M34" s="10" t="inlineStr">
        <is>
          <t>I can tolerate it</t>
        </is>
      </c>
      <c r="N34" s="11">
        <f>IF(OR(B34="",C34=""),"",IFERROR(INDEX('Evaluation table'!$B$4:$F$8,MATCH(TRIM(SUBSTITUTE(B34,"’","'")),'Evaluation table'!$A$4:$A$8,0),MATCH(TRIM(SUBSTITUTE(C34,"’","'")),'Evaluation table'!$B$3:$F$3,0)),"?"))</f>
        <v/>
      </c>
      <c r="O34" s="11">
        <f>IF(OR(D34="",E34=""),"",IFERROR(INDEX('Evaluation table'!$B$4:$F$8,MATCH(TRIM(SUBSTITUTE(D34,"’","'")),'Evaluation table'!$A$4:$A$8,0),MATCH(TRIM(SUBSTITUTE(E34,"’","'")),'Evaluation table'!$B$3:$F$3,0)),"?"))</f>
        <v/>
      </c>
      <c r="P34" s="11">
        <f>IF(OR(F34="",G34=""),"",IFERROR(INDEX('Evaluation table'!$B$4:$F$8,MATCH(TRIM(SUBSTITUTE(F34,"’","'")),'Evaluation table'!$A$4:$A$8,0),MATCH(TRIM(SUBSTITUTE(G34,"’","'")),'Evaluation table'!$B$3:$F$3,0)),"?"))</f>
        <v/>
      </c>
      <c r="Q34" s="11">
        <f>IF(OR(H34="",I34=""),"",IFERROR(INDEX('Evaluation table'!$B$4:$F$8,MATCH(TRIM(SUBSTITUTE(H34,"’","'")),'Evaluation table'!$A$4:$A$8,0),MATCH(TRIM(SUBSTITUTE(I34,"’","'")),'Evaluation table'!$B$3:$F$3,0)),"?"))</f>
        <v/>
      </c>
      <c r="R34" s="11">
        <f>IF(OR(J34="",K34=""),"",IFERROR(INDEX('Evaluation table'!$B$4:$F$8,MATCH(TRIM(SUBSTITUTE(J34,"’","'")),'Evaluation table'!$A$4:$A$8,0),MATCH(TRIM(SUBSTITUTE(K34,"’","'")),'Evaluation table'!$B$3:$F$3,0)),"?"))</f>
        <v/>
      </c>
      <c r="S34" s="11">
        <f>IF(OR(L34="",M34=""),"",IFERROR(INDEX('Evaluation table'!$B$4:$F$8,MATCH(TRIM(SUBSTITUTE(L34,"’","'")),'Evaluation table'!$A$4:$A$8,0),MATCH(TRIM(SUBSTITUTE(M34,"’","'")),'Evaluation table'!$B$3:$F$3,0)),"?"))</f>
        <v/>
      </c>
    </row>
    <row r="35">
      <c r="A35" s="2" t="n">
        <v>17</v>
      </c>
      <c r="B35" s="10" t="inlineStr">
        <is>
          <t>I like it</t>
        </is>
      </c>
      <c r="C35" s="10" t="inlineStr">
        <is>
          <t>I'm neutral</t>
        </is>
      </c>
      <c r="D35" s="10" t="inlineStr">
        <is>
          <t>I like it</t>
        </is>
      </c>
      <c r="E35" s="10" t="inlineStr">
        <is>
          <t>I dislike it</t>
        </is>
      </c>
      <c r="F35" s="10" t="inlineStr">
        <is>
          <t>I like it</t>
        </is>
      </c>
      <c r="G35" s="10" t="inlineStr">
        <is>
          <t>I'm neutral</t>
        </is>
      </c>
      <c r="H35" s="10" t="inlineStr">
        <is>
          <t>I'm neutral</t>
        </is>
      </c>
      <c r="I35" s="10" t="inlineStr">
        <is>
          <t>I can tolerate it</t>
        </is>
      </c>
      <c r="J35" s="10" t="inlineStr">
        <is>
          <t>I like it</t>
        </is>
      </c>
      <c r="K35" s="10" t="inlineStr">
        <is>
          <t>I'm neutral</t>
        </is>
      </c>
      <c r="L35" s="10" t="inlineStr">
        <is>
          <t>I can tolerate it</t>
        </is>
      </c>
      <c r="M35" s="10" t="inlineStr">
        <is>
          <t>I'm neutral</t>
        </is>
      </c>
      <c r="N35" s="11">
        <f>IF(OR(B35="",C35=""),"",IFERROR(INDEX('Evaluation table'!$B$4:$F$8,MATCH(TRIM(SUBSTITUTE(B35,"’","'")),'Evaluation table'!$A$4:$A$8,0),MATCH(TRIM(SUBSTITUTE(C35,"’","'")),'Evaluation table'!$B$3:$F$3,0)),"?"))</f>
        <v/>
      </c>
      <c r="O35" s="11">
        <f>IF(OR(D35="",E35=""),"",IFERROR(INDEX('Evaluation table'!$B$4:$F$8,MATCH(TRIM(SUBSTITUTE(D35,"’","'")),'Evaluation table'!$A$4:$A$8,0),MATCH(TRIM(SUBSTITUTE(E35,"’","'")),'Evaluation table'!$B$3:$F$3,0)),"?"))</f>
        <v/>
      </c>
      <c r="P35" s="11">
        <f>IF(OR(F35="",G35=""),"",IFERROR(INDEX('Evaluation table'!$B$4:$F$8,MATCH(TRIM(SUBSTITUTE(F35,"’","'")),'Evaluation table'!$A$4:$A$8,0),MATCH(TRIM(SUBSTITUTE(G35,"’","'")),'Evaluation table'!$B$3:$F$3,0)),"?"))</f>
        <v/>
      </c>
      <c r="Q35" s="11">
        <f>IF(OR(H35="",I35=""),"",IFERROR(INDEX('Evaluation table'!$B$4:$F$8,MATCH(TRIM(SUBSTITUTE(H35,"’","'")),'Evaluation table'!$A$4:$A$8,0),MATCH(TRIM(SUBSTITUTE(I35,"’","'")),'Evaluation table'!$B$3:$F$3,0)),"?"))</f>
        <v/>
      </c>
      <c r="R35" s="11">
        <f>IF(OR(J35="",K35=""),"",IFERROR(INDEX('Evaluation table'!$B$4:$F$8,MATCH(TRIM(SUBSTITUTE(J35,"’","'")),'Evaluation table'!$A$4:$A$8,0),MATCH(TRIM(SUBSTITUTE(K35,"’","'")),'Evaluation table'!$B$3:$F$3,0)),"?"))</f>
        <v/>
      </c>
      <c r="S35" s="11">
        <f>IF(OR(L35="",M35=""),"",IFERROR(INDEX('Evaluation table'!$B$4:$F$8,MATCH(TRIM(SUBSTITUTE(L35,"’","'")),'Evaluation table'!$A$4:$A$8,0),MATCH(TRIM(SUBSTITUTE(M35,"’","'")),'Evaluation table'!$B$3:$F$3,0)),"?"))</f>
        <v/>
      </c>
    </row>
    <row r="36">
      <c r="A36" s="2" t="n">
        <v>18</v>
      </c>
      <c r="B36" s="10" t="inlineStr">
        <is>
          <t>I like it</t>
        </is>
      </c>
      <c r="C36" s="10" t="inlineStr">
        <is>
          <t>I dislike it</t>
        </is>
      </c>
      <c r="D36" s="10" t="inlineStr">
        <is>
          <t>I like it</t>
        </is>
      </c>
      <c r="E36" s="10" t="inlineStr">
        <is>
          <t>I dislike it</t>
        </is>
      </c>
      <c r="F36" s="10" t="inlineStr">
        <is>
          <t>I like it</t>
        </is>
      </c>
      <c r="G36" s="10" t="inlineStr">
        <is>
          <t>I expect it</t>
        </is>
      </c>
      <c r="H36" s="10" t="inlineStr">
        <is>
          <t>I can tolerate it</t>
        </is>
      </c>
      <c r="I36" s="10" t="inlineStr">
        <is>
          <t>I'm neutral</t>
        </is>
      </c>
      <c r="J36" s="10" t="inlineStr">
        <is>
          <t>I expect it</t>
        </is>
      </c>
      <c r="K36" s="10" t="inlineStr">
        <is>
          <t>I dislike it</t>
        </is>
      </c>
      <c r="L36" s="10" t="inlineStr">
        <is>
          <t>I dislike it</t>
        </is>
      </c>
      <c r="M36" s="10" t="inlineStr">
        <is>
          <t>I like it</t>
        </is>
      </c>
      <c r="N36" s="11">
        <f>IF(OR(B36="",C36=""),"",IFERROR(INDEX('Evaluation table'!$B$4:$F$8,MATCH(TRIM(SUBSTITUTE(B36,"’","'")),'Evaluation table'!$A$4:$A$8,0),MATCH(TRIM(SUBSTITUTE(C36,"’","'")),'Evaluation table'!$B$3:$F$3,0)),"?"))</f>
        <v/>
      </c>
      <c r="O36" s="11">
        <f>IF(OR(D36="",E36=""),"",IFERROR(INDEX('Evaluation table'!$B$4:$F$8,MATCH(TRIM(SUBSTITUTE(D36,"’","'")),'Evaluation table'!$A$4:$A$8,0),MATCH(TRIM(SUBSTITUTE(E36,"’","'")),'Evaluation table'!$B$3:$F$3,0)),"?"))</f>
        <v/>
      </c>
      <c r="P36" s="11">
        <f>IF(OR(F36="",G36=""),"",IFERROR(INDEX('Evaluation table'!$B$4:$F$8,MATCH(TRIM(SUBSTITUTE(F36,"’","'")),'Evaluation table'!$A$4:$A$8,0),MATCH(TRIM(SUBSTITUTE(G36,"’","'")),'Evaluation table'!$B$3:$F$3,0)),"?"))</f>
        <v/>
      </c>
      <c r="Q36" s="11">
        <f>IF(OR(H36="",I36=""),"",IFERROR(INDEX('Evaluation table'!$B$4:$F$8,MATCH(TRIM(SUBSTITUTE(H36,"’","'")),'Evaluation table'!$A$4:$A$8,0),MATCH(TRIM(SUBSTITUTE(I36,"’","'")),'Evaluation table'!$B$3:$F$3,0)),"?"))</f>
        <v/>
      </c>
      <c r="R36" s="11">
        <f>IF(OR(J36="",K36=""),"",IFERROR(INDEX('Evaluation table'!$B$4:$F$8,MATCH(TRIM(SUBSTITUTE(J36,"’","'")),'Evaluation table'!$A$4:$A$8,0),MATCH(TRIM(SUBSTITUTE(K36,"’","'")),'Evaluation table'!$B$3:$F$3,0)),"?"))</f>
        <v/>
      </c>
      <c r="S36" s="11">
        <f>IF(OR(L36="",M36=""),"",IFERROR(INDEX('Evaluation table'!$B$4:$F$8,MATCH(TRIM(SUBSTITUTE(L36,"’","'")),'Evaluation table'!$A$4:$A$8,0),MATCH(TRIM(SUBSTITUTE(M36,"’","'")),'Evaluation table'!$B$3:$F$3,0)),"?"))</f>
        <v/>
      </c>
    </row>
    <row r="37">
      <c r="A37" s="2" t="n">
        <v>19</v>
      </c>
      <c r="B37" s="10" t="inlineStr">
        <is>
          <t>I expect it</t>
        </is>
      </c>
      <c r="C37" s="10" t="inlineStr">
        <is>
          <t>I dislike it</t>
        </is>
      </c>
      <c r="D37" s="10" t="inlineStr">
        <is>
          <t>I like it</t>
        </is>
      </c>
      <c r="E37" s="10" t="inlineStr">
        <is>
          <t>I dislike it</t>
        </is>
      </c>
      <c r="F37" s="10" t="inlineStr">
        <is>
          <t>I like it</t>
        </is>
      </c>
      <c r="G37" s="10" t="inlineStr">
        <is>
          <t>I can tolerate it</t>
        </is>
      </c>
      <c r="H37" s="10" t="inlineStr">
        <is>
          <t>I like it</t>
        </is>
      </c>
      <c r="I37" s="10" t="inlineStr">
        <is>
          <t>I dislike it</t>
        </is>
      </c>
      <c r="J37" s="10" t="inlineStr">
        <is>
          <t>I like it</t>
        </is>
      </c>
      <c r="K37" s="10" t="inlineStr">
        <is>
          <t>I dislike it</t>
        </is>
      </c>
      <c r="L37" s="10" t="inlineStr">
        <is>
          <t>I'm neutral</t>
        </is>
      </c>
      <c r="M37" s="10" t="inlineStr">
        <is>
          <t>I'm neutral</t>
        </is>
      </c>
      <c r="N37" s="11">
        <f>IF(OR(B37="",C37=""),"",IFERROR(INDEX('Evaluation table'!$B$4:$F$8,MATCH(TRIM(SUBSTITUTE(B37,"’","'")),'Evaluation table'!$A$4:$A$8,0),MATCH(TRIM(SUBSTITUTE(C37,"’","'")),'Evaluation table'!$B$3:$F$3,0)),"?"))</f>
        <v/>
      </c>
      <c r="O37" s="11">
        <f>IF(OR(D37="",E37=""),"",IFERROR(INDEX('Evaluation table'!$B$4:$F$8,MATCH(TRIM(SUBSTITUTE(D37,"’","'")),'Evaluation table'!$A$4:$A$8,0),MATCH(TRIM(SUBSTITUTE(E37,"’","'")),'Evaluation table'!$B$3:$F$3,0)),"?"))</f>
        <v/>
      </c>
      <c r="P37" s="11">
        <f>IF(OR(F37="",G37=""),"",IFERROR(INDEX('Evaluation table'!$B$4:$F$8,MATCH(TRIM(SUBSTITUTE(F37,"’","'")),'Evaluation table'!$A$4:$A$8,0),MATCH(TRIM(SUBSTITUTE(G37,"’","'")),'Evaluation table'!$B$3:$F$3,0)),"?"))</f>
        <v/>
      </c>
      <c r="Q37" s="11">
        <f>IF(OR(H37="",I37=""),"",IFERROR(INDEX('Evaluation table'!$B$4:$F$8,MATCH(TRIM(SUBSTITUTE(H37,"’","'")),'Evaluation table'!$A$4:$A$8,0),MATCH(TRIM(SUBSTITUTE(I37,"’","'")),'Evaluation table'!$B$3:$F$3,0)),"?"))</f>
        <v/>
      </c>
      <c r="R37" s="11">
        <f>IF(OR(J37="",K37=""),"",IFERROR(INDEX('Evaluation table'!$B$4:$F$8,MATCH(TRIM(SUBSTITUTE(J37,"’","'")),'Evaluation table'!$A$4:$A$8,0),MATCH(TRIM(SUBSTITUTE(K37,"’","'")),'Evaluation table'!$B$3:$F$3,0)),"?"))</f>
        <v/>
      </c>
      <c r="S37" s="11">
        <f>IF(OR(L37="",M37=""),"",IFERROR(INDEX('Evaluation table'!$B$4:$F$8,MATCH(TRIM(SUBSTITUTE(L37,"’","'")),'Evaluation table'!$A$4:$A$8,0),MATCH(TRIM(SUBSTITUTE(M37,"’","'")),'Evaluation table'!$B$3:$F$3,0)),"?"))</f>
        <v/>
      </c>
    </row>
    <row r="38">
      <c r="A38" s="2" t="n">
        <v>20</v>
      </c>
      <c r="B38" s="10" t="inlineStr">
        <is>
          <t>I expect it</t>
        </is>
      </c>
      <c r="C38" s="10" t="inlineStr">
        <is>
          <t>I dislike it</t>
        </is>
      </c>
      <c r="D38" s="10" t="inlineStr">
        <is>
          <t>I like it</t>
        </is>
      </c>
      <c r="E38" s="10" t="inlineStr">
        <is>
          <t>I dislike it</t>
        </is>
      </c>
      <c r="F38" s="10" t="inlineStr">
        <is>
          <t>I like it</t>
        </is>
      </c>
      <c r="G38" s="10" t="inlineStr">
        <is>
          <t>I'm neutral</t>
        </is>
      </c>
      <c r="H38" s="10" t="inlineStr">
        <is>
          <t>I expect it</t>
        </is>
      </c>
      <c r="I38" s="10" t="inlineStr">
        <is>
          <t>I'm neutral</t>
        </is>
      </c>
      <c r="J38" s="10" t="inlineStr">
        <is>
          <t>I'm neutral</t>
        </is>
      </c>
      <c r="K38" s="10" t="inlineStr">
        <is>
          <t>I'm neutral</t>
        </is>
      </c>
      <c r="L38" s="10" t="inlineStr">
        <is>
          <t>I'm neutral</t>
        </is>
      </c>
      <c r="M38" s="10" t="inlineStr">
        <is>
          <t>I'm neutral</t>
        </is>
      </c>
      <c r="N38" s="11">
        <f>IF(OR(B38="",C38=""),"",IFERROR(INDEX('Evaluation table'!$B$4:$F$8,MATCH(TRIM(SUBSTITUTE(B38,"’","'")),'Evaluation table'!$A$4:$A$8,0),MATCH(TRIM(SUBSTITUTE(C38,"’","'")),'Evaluation table'!$B$3:$F$3,0)),"?"))</f>
        <v/>
      </c>
      <c r="O38" s="11">
        <f>IF(OR(D38="",E38=""),"",IFERROR(INDEX('Evaluation table'!$B$4:$F$8,MATCH(TRIM(SUBSTITUTE(D38,"’","'")),'Evaluation table'!$A$4:$A$8,0),MATCH(TRIM(SUBSTITUTE(E38,"’","'")),'Evaluation table'!$B$3:$F$3,0)),"?"))</f>
        <v/>
      </c>
      <c r="P38" s="11">
        <f>IF(OR(F38="",G38=""),"",IFERROR(INDEX('Evaluation table'!$B$4:$F$8,MATCH(TRIM(SUBSTITUTE(F38,"’","'")),'Evaluation table'!$A$4:$A$8,0),MATCH(TRIM(SUBSTITUTE(G38,"’","'")),'Evaluation table'!$B$3:$F$3,0)),"?"))</f>
        <v/>
      </c>
      <c r="Q38" s="11">
        <f>IF(OR(H38="",I38=""),"",IFERROR(INDEX('Evaluation table'!$B$4:$F$8,MATCH(TRIM(SUBSTITUTE(H38,"’","'")),'Evaluation table'!$A$4:$A$8,0),MATCH(TRIM(SUBSTITUTE(I38,"’","'")),'Evaluation table'!$B$3:$F$3,0)),"?"))</f>
        <v/>
      </c>
      <c r="R38" s="11">
        <f>IF(OR(J38="",K38=""),"",IFERROR(INDEX('Evaluation table'!$B$4:$F$8,MATCH(TRIM(SUBSTITUTE(J38,"’","'")),'Evaluation table'!$A$4:$A$8,0),MATCH(TRIM(SUBSTITUTE(K38,"’","'")),'Evaluation table'!$B$3:$F$3,0)),"?"))</f>
        <v/>
      </c>
      <c r="S38" s="11">
        <f>IF(OR(L38="",M38=""),"",IFERROR(INDEX('Evaluation table'!$B$4:$F$8,MATCH(TRIM(SUBSTITUTE(L38,"’","'")),'Evaluation table'!$A$4:$A$8,0),MATCH(TRIM(SUBSTITUTE(M38,"’","'")),'Evaluation table'!$B$3:$F$3,0)),"?"))</f>
        <v/>
      </c>
    </row>
    <row r="39">
      <c r="A39" s="2" t="n">
        <v>21</v>
      </c>
      <c r="B39" s="10" t="inlineStr">
        <is>
          <t>I like it</t>
        </is>
      </c>
      <c r="C39" s="10" t="inlineStr">
        <is>
          <t>I dislike it</t>
        </is>
      </c>
      <c r="D39" s="10" t="inlineStr">
        <is>
          <t>I like it</t>
        </is>
      </c>
      <c r="E39" s="10" t="inlineStr">
        <is>
          <t>I dislike it</t>
        </is>
      </c>
      <c r="F39" s="10" t="inlineStr">
        <is>
          <t>I like it</t>
        </is>
      </c>
      <c r="G39" s="10" t="inlineStr">
        <is>
          <t>I'm neutral</t>
        </is>
      </c>
      <c r="H39" s="10" t="inlineStr">
        <is>
          <t>I expect it</t>
        </is>
      </c>
      <c r="I39" s="10" t="inlineStr">
        <is>
          <t>I expect it</t>
        </is>
      </c>
      <c r="J39" s="10" t="inlineStr">
        <is>
          <t>I'm neutral</t>
        </is>
      </c>
      <c r="K39" s="10" t="inlineStr">
        <is>
          <t>I'm neutral</t>
        </is>
      </c>
      <c r="L39" s="10" t="inlineStr">
        <is>
          <t>I dislike it</t>
        </is>
      </c>
      <c r="M39" s="10" t="inlineStr">
        <is>
          <t>I'm neutral</t>
        </is>
      </c>
      <c r="N39" s="11">
        <f>IF(OR(B39="",C39=""),"",IFERROR(INDEX('Evaluation table'!$B$4:$F$8,MATCH(TRIM(SUBSTITUTE(B39,"’","'")),'Evaluation table'!$A$4:$A$8,0),MATCH(TRIM(SUBSTITUTE(C39,"’","'")),'Evaluation table'!$B$3:$F$3,0)),"?"))</f>
        <v/>
      </c>
      <c r="O39" s="11">
        <f>IF(OR(D39="",E39=""),"",IFERROR(INDEX('Evaluation table'!$B$4:$F$8,MATCH(TRIM(SUBSTITUTE(D39,"’","'")),'Evaluation table'!$A$4:$A$8,0),MATCH(TRIM(SUBSTITUTE(E39,"’","'")),'Evaluation table'!$B$3:$F$3,0)),"?"))</f>
        <v/>
      </c>
      <c r="P39" s="11">
        <f>IF(OR(F39="",G39=""),"",IFERROR(INDEX('Evaluation table'!$B$4:$F$8,MATCH(TRIM(SUBSTITUTE(F39,"’","'")),'Evaluation table'!$A$4:$A$8,0),MATCH(TRIM(SUBSTITUTE(G39,"’","'")),'Evaluation table'!$B$3:$F$3,0)),"?"))</f>
        <v/>
      </c>
      <c r="Q39" s="11">
        <f>IF(OR(H39="",I39=""),"",IFERROR(INDEX('Evaluation table'!$B$4:$F$8,MATCH(TRIM(SUBSTITUTE(H39,"’","'")),'Evaluation table'!$A$4:$A$8,0),MATCH(TRIM(SUBSTITUTE(I39,"’","'")),'Evaluation table'!$B$3:$F$3,0)),"?"))</f>
        <v/>
      </c>
      <c r="R39" s="11">
        <f>IF(OR(J39="",K39=""),"",IFERROR(INDEX('Evaluation table'!$B$4:$F$8,MATCH(TRIM(SUBSTITUTE(J39,"’","'")),'Evaluation table'!$A$4:$A$8,0),MATCH(TRIM(SUBSTITUTE(K39,"’","'")),'Evaluation table'!$B$3:$F$3,0)),"?"))</f>
        <v/>
      </c>
      <c r="S39" s="11">
        <f>IF(OR(L39="",M39=""),"",IFERROR(INDEX('Evaluation table'!$B$4:$F$8,MATCH(TRIM(SUBSTITUTE(L39,"’","'")),'Evaluation table'!$A$4:$A$8,0),MATCH(TRIM(SUBSTITUTE(M39,"’","'")),'Evaluation table'!$B$3:$F$3,0)),"?"))</f>
        <v/>
      </c>
    </row>
    <row r="40">
      <c r="A40" s="2" t="n">
        <v>22</v>
      </c>
      <c r="B40" s="10" t="inlineStr">
        <is>
          <t>I like it</t>
        </is>
      </c>
      <c r="C40" s="10" t="inlineStr">
        <is>
          <t>I dislike it</t>
        </is>
      </c>
      <c r="D40" s="10" t="inlineStr">
        <is>
          <t>I can tolerate it</t>
        </is>
      </c>
      <c r="E40" s="10" t="inlineStr">
        <is>
          <t>I dislike it</t>
        </is>
      </c>
      <c r="F40" s="10" t="inlineStr">
        <is>
          <t>I like it</t>
        </is>
      </c>
      <c r="G40" s="10" t="inlineStr">
        <is>
          <t>I can tolerate it</t>
        </is>
      </c>
      <c r="H40" s="10" t="inlineStr">
        <is>
          <t>I like it</t>
        </is>
      </c>
      <c r="I40" s="10" t="inlineStr">
        <is>
          <t>I dislike it</t>
        </is>
      </c>
      <c r="J40" s="10" t="inlineStr">
        <is>
          <t>I'm neutral</t>
        </is>
      </c>
      <c r="K40" s="10" t="inlineStr">
        <is>
          <t>I'm neutral</t>
        </is>
      </c>
      <c r="L40" s="10" t="inlineStr">
        <is>
          <t>I'm neutral</t>
        </is>
      </c>
      <c r="M40" s="10" t="inlineStr">
        <is>
          <t>I can tolerate it</t>
        </is>
      </c>
      <c r="N40" s="11">
        <f>IF(OR(B40="",C40=""),"",IFERROR(INDEX('Evaluation table'!$B$4:$F$8,MATCH(TRIM(SUBSTITUTE(B40,"’","'")),'Evaluation table'!$A$4:$A$8,0),MATCH(TRIM(SUBSTITUTE(C40,"’","'")),'Evaluation table'!$B$3:$F$3,0)),"?"))</f>
        <v/>
      </c>
      <c r="O40" s="11">
        <f>IF(OR(D40="",E40=""),"",IFERROR(INDEX('Evaluation table'!$B$4:$F$8,MATCH(TRIM(SUBSTITUTE(D40,"’","'")),'Evaluation table'!$A$4:$A$8,0),MATCH(TRIM(SUBSTITUTE(E40,"’","'")),'Evaluation table'!$B$3:$F$3,0)),"?"))</f>
        <v/>
      </c>
      <c r="P40" s="11">
        <f>IF(OR(F40="",G40=""),"",IFERROR(INDEX('Evaluation table'!$B$4:$F$8,MATCH(TRIM(SUBSTITUTE(F40,"’","'")),'Evaluation table'!$A$4:$A$8,0),MATCH(TRIM(SUBSTITUTE(G40,"’","'")),'Evaluation table'!$B$3:$F$3,0)),"?"))</f>
        <v/>
      </c>
      <c r="Q40" s="11">
        <f>IF(OR(H40="",I40=""),"",IFERROR(INDEX('Evaluation table'!$B$4:$F$8,MATCH(TRIM(SUBSTITUTE(H40,"’","'")),'Evaluation table'!$A$4:$A$8,0),MATCH(TRIM(SUBSTITUTE(I40,"’","'")),'Evaluation table'!$B$3:$F$3,0)),"?"))</f>
        <v/>
      </c>
      <c r="R40" s="11">
        <f>IF(OR(J40="",K40=""),"",IFERROR(INDEX('Evaluation table'!$B$4:$F$8,MATCH(TRIM(SUBSTITUTE(J40,"’","'")),'Evaluation table'!$A$4:$A$8,0),MATCH(TRIM(SUBSTITUTE(K40,"’","'")),'Evaluation table'!$B$3:$F$3,0)),"?"))</f>
        <v/>
      </c>
      <c r="S40" s="11">
        <f>IF(OR(L40="",M40=""),"",IFERROR(INDEX('Evaluation table'!$B$4:$F$8,MATCH(TRIM(SUBSTITUTE(L40,"’","'")),'Evaluation table'!$A$4:$A$8,0),MATCH(TRIM(SUBSTITUTE(M40,"’","'")),'Evaluation table'!$B$3:$F$3,0)),"?"))</f>
        <v/>
      </c>
    </row>
    <row r="41">
      <c r="A41" s="2" t="n">
        <v>23</v>
      </c>
      <c r="B41" s="10" t="inlineStr">
        <is>
          <t>I like it</t>
        </is>
      </c>
      <c r="C41" s="10" t="inlineStr">
        <is>
          <t>I dislike it</t>
        </is>
      </c>
      <c r="D41" s="10" t="inlineStr">
        <is>
          <t>I like it</t>
        </is>
      </c>
      <c r="E41" s="10" t="inlineStr">
        <is>
          <t>I dislike it</t>
        </is>
      </c>
      <c r="F41" s="10" t="inlineStr">
        <is>
          <t>I'm neutral</t>
        </is>
      </c>
      <c r="G41" s="10" t="inlineStr">
        <is>
          <t>I'm neutral</t>
        </is>
      </c>
      <c r="H41" s="10" t="inlineStr">
        <is>
          <t>I like it</t>
        </is>
      </c>
      <c r="I41" s="10" t="inlineStr">
        <is>
          <t>I'm neutral</t>
        </is>
      </c>
      <c r="J41" s="10" t="inlineStr">
        <is>
          <t>I dislike it</t>
        </is>
      </c>
      <c r="K41" s="10" t="inlineStr">
        <is>
          <t>I'm neutral</t>
        </is>
      </c>
      <c r="L41" s="10" t="inlineStr">
        <is>
          <t>I like it</t>
        </is>
      </c>
      <c r="M41" s="10" t="inlineStr">
        <is>
          <t>I can tolerate it</t>
        </is>
      </c>
      <c r="N41" s="11">
        <f>IF(OR(B41="",C41=""),"",IFERROR(INDEX('Evaluation table'!$B$4:$F$8,MATCH(TRIM(SUBSTITUTE(B41,"’","'")),'Evaluation table'!$A$4:$A$8,0),MATCH(TRIM(SUBSTITUTE(C41,"’","'")),'Evaluation table'!$B$3:$F$3,0)),"?"))</f>
        <v/>
      </c>
      <c r="O41" s="11">
        <f>IF(OR(D41="",E41=""),"",IFERROR(INDEX('Evaluation table'!$B$4:$F$8,MATCH(TRIM(SUBSTITUTE(D41,"’","'")),'Evaluation table'!$A$4:$A$8,0),MATCH(TRIM(SUBSTITUTE(E41,"’","'")),'Evaluation table'!$B$3:$F$3,0)),"?"))</f>
        <v/>
      </c>
      <c r="P41" s="11">
        <f>IF(OR(F41="",G41=""),"",IFERROR(INDEX('Evaluation table'!$B$4:$F$8,MATCH(TRIM(SUBSTITUTE(F41,"’","'")),'Evaluation table'!$A$4:$A$8,0),MATCH(TRIM(SUBSTITUTE(G41,"’","'")),'Evaluation table'!$B$3:$F$3,0)),"?"))</f>
        <v/>
      </c>
      <c r="Q41" s="11">
        <f>IF(OR(H41="",I41=""),"",IFERROR(INDEX('Evaluation table'!$B$4:$F$8,MATCH(TRIM(SUBSTITUTE(H41,"’","'")),'Evaluation table'!$A$4:$A$8,0),MATCH(TRIM(SUBSTITUTE(I41,"’","'")),'Evaluation table'!$B$3:$F$3,0)),"?"))</f>
        <v/>
      </c>
      <c r="R41" s="11">
        <f>IF(OR(J41="",K41=""),"",IFERROR(INDEX('Evaluation table'!$B$4:$F$8,MATCH(TRIM(SUBSTITUTE(J41,"’","'")),'Evaluation table'!$A$4:$A$8,0),MATCH(TRIM(SUBSTITUTE(K41,"’","'")),'Evaluation table'!$B$3:$F$3,0)),"?"))</f>
        <v/>
      </c>
      <c r="S41" s="11">
        <f>IF(OR(L41="",M41=""),"",IFERROR(INDEX('Evaluation table'!$B$4:$F$8,MATCH(TRIM(SUBSTITUTE(L41,"’","'")),'Evaluation table'!$A$4:$A$8,0),MATCH(TRIM(SUBSTITUTE(M41,"’","'")),'Evaluation table'!$B$3:$F$3,0)),"?"))</f>
        <v/>
      </c>
    </row>
    <row r="42">
      <c r="A42" s="2" t="n">
        <v>24</v>
      </c>
      <c r="B42" s="10" t="inlineStr">
        <is>
          <t>I expect it</t>
        </is>
      </c>
      <c r="C42" s="10" t="inlineStr">
        <is>
          <t>I dislike it</t>
        </is>
      </c>
      <c r="D42" s="10" t="inlineStr">
        <is>
          <t>I like it</t>
        </is>
      </c>
      <c r="E42" s="10" t="inlineStr">
        <is>
          <t>I can tolerate it</t>
        </is>
      </c>
      <c r="F42" s="10" t="inlineStr">
        <is>
          <t>I'm neutral</t>
        </is>
      </c>
      <c r="G42" s="10" t="inlineStr">
        <is>
          <t>I can tolerate it</t>
        </is>
      </c>
      <c r="H42" s="10" t="inlineStr">
        <is>
          <t>I like it</t>
        </is>
      </c>
      <c r="I42" s="10" t="inlineStr">
        <is>
          <t>I'm neutral</t>
        </is>
      </c>
      <c r="J42" s="10" t="inlineStr">
        <is>
          <t>I'm neutral</t>
        </is>
      </c>
      <c r="K42" s="10" t="inlineStr">
        <is>
          <t>I'm neutral</t>
        </is>
      </c>
      <c r="L42" s="10" t="inlineStr">
        <is>
          <t>I like it</t>
        </is>
      </c>
      <c r="M42" s="10" t="inlineStr">
        <is>
          <t>I dislike it</t>
        </is>
      </c>
      <c r="N42" s="11">
        <f>IF(OR(B42="",C42=""),"",IFERROR(INDEX('Evaluation table'!$B$4:$F$8,MATCH(TRIM(SUBSTITUTE(B42,"’","'")),'Evaluation table'!$A$4:$A$8,0),MATCH(TRIM(SUBSTITUTE(C42,"’","'")),'Evaluation table'!$B$3:$F$3,0)),"?"))</f>
        <v/>
      </c>
      <c r="O42" s="11">
        <f>IF(OR(D42="",E42=""),"",IFERROR(INDEX('Evaluation table'!$B$4:$F$8,MATCH(TRIM(SUBSTITUTE(D42,"’","'")),'Evaluation table'!$A$4:$A$8,0),MATCH(TRIM(SUBSTITUTE(E42,"’","'")),'Evaluation table'!$B$3:$F$3,0)),"?"))</f>
        <v/>
      </c>
      <c r="P42" s="11">
        <f>IF(OR(F42="",G42=""),"",IFERROR(INDEX('Evaluation table'!$B$4:$F$8,MATCH(TRIM(SUBSTITUTE(F42,"’","'")),'Evaluation table'!$A$4:$A$8,0),MATCH(TRIM(SUBSTITUTE(G42,"’","'")),'Evaluation table'!$B$3:$F$3,0)),"?"))</f>
        <v/>
      </c>
      <c r="Q42" s="11">
        <f>IF(OR(H42="",I42=""),"",IFERROR(INDEX('Evaluation table'!$B$4:$F$8,MATCH(TRIM(SUBSTITUTE(H42,"’","'")),'Evaluation table'!$A$4:$A$8,0),MATCH(TRIM(SUBSTITUTE(I42,"’","'")),'Evaluation table'!$B$3:$F$3,0)),"?"))</f>
        <v/>
      </c>
      <c r="R42" s="11">
        <f>IF(OR(J42="",K42=""),"",IFERROR(INDEX('Evaluation table'!$B$4:$F$8,MATCH(TRIM(SUBSTITUTE(J42,"’","'")),'Evaluation table'!$A$4:$A$8,0),MATCH(TRIM(SUBSTITUTE(K42,"’","'")),'Evaluation table'!$B$3:$F$3,0)),"?"))</f>
        <v/>
      </c>
      <c r="S42" s="11">
        <f>IF(OR(L42="",M42=""),"",IFERROR(INDEX('Evaluation table'!$B$4:$F$8,MATCH(TRIM(SUBSTITUTE(L42,"’","'")),'Evaluation table'!$A$4:$A$8,0),MATCH(TRIM(SUBSTITUTE(M42,"’","'")),'Evaluation table'!$B$3:$F$3,0)),"?"))</f>
        <v/>
      </c>
    </row>
    <row r="43">
      <c r="A43" s="2" t="n">
        <v>25</v>
      </c>
      <c r="B43" s="10" t="inlineStr">
        <is>
          <t>I'm neutral</t>
        </is>
      </c>
      <c r="C43" s="10" t="inlineStr">
        <is>
          <t>I dislike it</t>
        </is>
      </c>
      <c r="D43" s="10" t="inlineStr">
        <is>
          <t>I like it</t>
        </is>
      </c>
      <c r="E43" s="10" t="inlineStr">
        <is>
          <t>I dislike it</t>
        </is>
      </c>
      <c r="F43" s="10" t="inlineStr">
        <is>
          <t>I like it</t>
        </is>
      </c>
      <c r="G43" s="10" t="inlineStr">
        <is>
          <t>I expect it</t>
        </is>
      </c>
      <c r="H43" s="10" t="inlineStr">
        <is>
          <t>I like it</t>
        </is>
      </c>
      <c r="I43" s="10" t="inlineStr">
        <is>
          <t>I'm neutral</t>
        </is>
      </c>
      <c r="J43" s="10" t="inlineStr">
        <is>
          <t>I'm neutral</t>
        </is>
      </c>
      <c r="K43" s="10" t="inlineStr">
        <is>
          <t>I'm neutral</t>
        </is>
      </c>
      <c r="L43" s="10" t="inlineStr">
        <is>
          <t>I dislike it</t>
        </is>
      </c>
      <c r="M43" s="10" t="inlineStr">
        <is>
          <t>I'm neutral</t>
        </is>
      </c>
      <c r="N43" s="11">
        <f>IF(OR(B43="",C43=""),"",IFERROR(INDEX('Evaluation table'!$B$4:$F$8,MATCH(TRIM(SUBSTITUTE(B43,"’","'")),'Evaluation table'!$A$4:$A$8,0),MATCH(TRIM(SUBSTITUTE(C43,"’","'")),'Evaluation table'!$B$3:$F$3,0)),"?"))</f>
        <v/>
      </c>
      <c r="O43" s="11">
        <f>IF(OR(D43="",E43=""),"",IFERROR(INDEX('Evaluation table'!$B$4:$F$8,MATCH(TRIM(SUBSTITUTE(D43,"’","'")),'Evaluation table'!$A$4:$A$8,0),MATCH(TRIM(SUBSTITUTE(E43,"’","'")),'Evaluation table'!$B$3:$F$3,0)),"?"))</f>
        <v/>
      </c>
      <c r="P43" s="11">
        <f>IF(OR(F43="",G43=""),"",IFERROR(INDEX('Evaluation table'!$B$4:$F$8,MATCH(TRIM(SUBSTITUTE(F43,"’","'")),'Evaluation table'!$A$4:$A$8,0),MATCH(TRIM(SUBSTITUTE(G43,"’","'")),'Evaluation table'!$B$3:$F$3,0)),"?"))</f>
        <v/>
      </c>
      <c r="Q43" s="11">
        <f>IF(OR(H43="",I43=""),"",IFERROR(INDEX('Evaluation table'!$B$4:$F$8,MATCH(TRIM(SUBSTITUTE(H43,"’","'")),'Evaluation table'!$A$4:$A$8,0),MATCH(TRIM(SUBSTITUTE(I43,"’","'")),'Evaluation table'!$B$3:$F$3,0)),"?"))</f>
        <v/>
      </c>
      <c r="R43" s="11">
        <f>IF(OR(J43="",K43=""),"",IFERROR(INDEX('Evaluation table'!$B$4:$F$8,MATCH(TRIM(SUBSTITUTE(J43,"’","'")),'Evaluation table'!$A$4:$A$8,0),MATCH(TRIM(SUBSTITUTE(K43,"’","'")),'Evaluation table'!$B$3:$F$3,0)),"?"))</f>
        <v/>
      </c>
      <c r="S43" s="11">
        <f>IF(OR(L43="",M43=""),"",IFERROR(INDEX('Evaluation table'!$B$4:$F$8,MATCH(TRIM(SUBSTITUTE(L43,"’","'")),'Evaluation table'!$A$4:$A$8,0),MATCH(TRIM(SUBSTITUTE(M43,"’","'")),'Evaluation table'!$B$3:$F$3,0)),"?"))</f>
        <v/>
      </c>
    </row>
    <row r="44">
      <c r="A44" s="2" t="n">
        <v>26</v>
      </c>
      <c r="B44" s="10" t="inlineStr">
        <is>
          <t>I expect it</t>
        </is>
      </c>
      <c r="C44" s="10" t="inlineStr">
        <is>
          <t>I dislike it</t>
        </is>
      </c>
      <c r="D44" s="10" t="inlineStr">
        <is>
          <t>I'm neutral</t>
        </is>
      </c>
      <c r="E44" s="10" t="inlineStr">
        <is>
          <t>I dislike it</t>
        </is>
      </c>
      <c r="F44" s="10" t="inlineStr">
        <is>
          <t>I'm neutral</t>
        </is>
      </c>
      <c r="G44" s="10" t="inlineStr">
        <is>
          <t>I'm neutral</t>
        </is>
      </c>
      <c r="H44" s="10" t="inlineStr">
        <is>
          <t>I like it</t>
        </is>
      </c>
      <c r="I44" s="10" t="inlineStr">
        <is>
          <t>I dislike it</t>
        </is>
      </c>
      <c r="J44" s="10" t="inlineStr">
        <is>
          <t>I'm neutral</t>
        </is>
      </c>
      <c r="K44" s="10" t="inlineStr">
        <is>
          <t>I'm neutral</t>
        </is>
      </c>
      <c r="L44" s="10" t="inlineStr">
        <is>
          <t>I like it</t>
        </is>
      </c>
      <c r="M44" s="10" t="inlineStr">
        <is>
          <t>I'm neutral</t>
        </is>
      </c>
      <c r="N44" s="11">
        <f>IF(OR(B44="",C44=""),"",IFERROR(INDEX('Evaluation table'!$B$4:$F$8,MATCH(TRIM(SUBSTITUTE(B44,"’","'")),'Evaluation table'!$A$4:$A$8,0),MATCH(TRIM(SUBSTITUTE(C44,"’","'")),'Evaluation table'!$B$3:$F$3,0)),"?"))</f>
        <v/>
      </c>
      <c r="O44" s="11">
        <f>IF(OR(D44="",E44=""),"",IFERROR(INDEX('Evaluation table'!$B$4:$F$8,MATCH(TRIM(SUBSTITUTE(D44,"’","'")),'Evaluation table'!$A$4:$A$8,0),MATCH(TRIM(SUBSTITUTE(E44,"’","'")),'Evaluation table'!$B$3:$F$3,0)),"?"))</f>
        <v/>
      </c>
      <c r="P44" s="11">
        <f>IF(OR(F44="",G44=""),"",IFERROR(INDEX('Evaluation table'!$B$4:$F$8,MATCH(TRIM(SUBSTITUTE(F44,"’","'")),'Evaluation table'!$A$4:$A$8,0),MATCH(TRIM(SUBSTITUTE(G44,"’","'")),'Evaluation table'!$B$3:$F$3,0)),"?"))</f>
        <v/>
      </c>
      <c r="Q44" s="11">
        <f>IF(OR(H44="",I44=""),"",IFERROR(INDEX('Evaluation table'!$B$4:$F$8,MATCH(TRIM(SUBSTITUTE(H44,"’","'")),'Evaluation table'!$A$4:$A$8,0),MATCH(TRIM(SUBSTITUTE(I44,"’","'")),'Evaluation table'!$B$3:$F$3,0)),"?"))</f>
        <v/>
      </c>
      <c r="R44" s="11">
        <f>IF(OR(J44="",K44=""),"",IFERROR(INDEX('Evaluation table'!$B$4:$F$8,MATCH(TRIM(SUBSTITUTE(J44,"’","'")),'Evaluation table'!$A$4:$A$8,0),MATCH(TRIM(SUBSTITUTE(K44,"’","'")),'Evaluation table'!$B$3:$F$3,0)),"?"))</f>
        <v/>
      </c>
      <c r="S44" s="11">
        <f>IF(OR(L44="",M44=""),"",IFERROR(INDEX('Evaluation table'!$B$4:$F$8,MATCH(TRIM(SUBSTITUTE(L44,"’","'")),'Evaluation table'!$A$4:$A$8,0),MATCH(TRIM(SUBSTITUTE(M44,"’","'")),'Evaluation table'!$B$3:$F$3,0)),"?"))</f>
        <v/>
      </c>
    </row>
    <row r="45">
      <c r="A45" s="2" t="n">
        <v>27</v>
      </c>
      <c r="B45" s="10" t="inlineStr">
        <is>
          <t>I can tolerate it</t>
        </is>
      </c>
      <c r="C45" s="10" t="inlineStr">
        <is>
          <t>I dislike it</t>
        </is>
      </c>
      <c r="D45" s="10" t="inlineStr">
        <is>
          <t>I'm neutral</t>
        </is>
      </c>
      <c r="E45" s="10" t="inlineStr">
        <is>
          <t>I'm neutral</t>
        </is>
      </c>
      <c r="F45" s="10" t="inlineStr">
        <is>
          <t>I'm neutral</t>
        </is>
      </c>
      <c r="G45" s="10" t="inlineStr">
        <is>
          <t>I'm neutral</t>
        </is>
      </c>
      <c r="H45" s="10" t="inlineStr">
        <is>
          <t>I'm neutral</t>
        </is>
      </c>
      <c r="I45" s="10" t="inlineStr">
        <is>
          <t>I'm neutral</t>
        </is>
      </c>
      <c r="J45" s="10" t="inlineStr">
        <is>
          <t>I expect it</t>
        </is>
      </c>
      <c r="K45" s="10" t="inlineStr">
        <is>
          <t>I'm neutral</t>
        </is>
      </c>
      <c r="L45" s="10" t="inlineStr">
        <is>
          <t>I like it</t>
        </is>
      </c>
      <c r="M45" s="10" t="inlineStr">
        <is>
          <t>I dislike it</t>
        </is>
      </c>
      <c r="N45" s="11">
        <f>IF(OR(B45="",C45=""),"",IFERROR(INDEX('Evaluation table'!$B$4:$F$8,MATCH(TRIM(SUBSTITUTE(B45,"’","'")),'Evaluation table'!$A$4:$A$8,0),MATCH(TRIM(SUBSTITUTE(C45,"’","'")),'Evaluation table'!$B$3:$F$3,0)),"?"))</f>
        <v/>
      </c>
      <c r="O45" s="11">
        <f>IF(OR(D45="",E45=""),"",IFERROR(INDEX('Evaluation table'!$B$4:$F$8,MATCH(TRIM(SUBSTITUTE(D45,"’","'")),'Evaluation table'!$A$4:$A$8,0),MATCH(TRIM(SUBSTITUTE(E45,"’","'")),'Evaluation table'!$B$3:$F$3,0)),"?"))</f>
        <v/>
      </c>
      <c r="P45" s="11">
        <f>IF(OR(F45="",G45=""),"",IFERROR(INDEX('Evaluation table'!$B$4:$F$8,MATCH(TRIM(SUBSTITUTE(F45,"’","'")),'Evaluation table'!$A$4:$A$8,0),MATCH(TRIM(SUBSTITUTE(G45,"’","'")),'Evaluation table'!$B$3:$F$3,0)),"?"))</f>
        <v/>
      </c>
      <c r="Q45" s="11">
        <f>IF(OR(H45="",I45=""),"",IFERROR(INDEX('Evaluation table'!$B$4:$F$8,MATCH(TRIM(SUBSTITUTE(H45,"’","'")),'Evaluation table'!$A$4:$A$8,0),MATCH(TRIM(SUBSTITUTE(I45,"’","'")),'Evaluation table'!$B$3:$F$3,0)),"?"))</f>
        <v/>
      </c>
      <c r="R45" s="11">
        <f>IF(OR(J45="",K45=""),"",IFERROR(INDEX('Evaluation table'!$B$4:$F$8,MATCH(TRIM(SUBSTITUTE(J45,"’","'")),'Evaluation table'!$A$4:$A$8,0),MATCH(TRIM(SUBSTITUTE(K45,"’","'")),'Evaluation table'!$B$3:$F$3,0)),"?"))</f>
        <v/>
      </c>
      <c r="S45" s="11">
        <f>IF(OR(L45="",M45=""),"",IFERROR(INDEX('Evaluation table'!$B$4:$F$8,MATCH(TRIM(SUBSTITUTE(L45,"’","'")),'Evaluation table'!$A$4:$A$8,0),MATCH(TRIM(SUBSTITUTE(M45,"’","'")),'Evaluation table'!$B$3:$F$3,0)),"?"))</f>
        <v/>
      </c>
    </row>
    <row r="46">
      <c r="A46" s="2" t="n">
        <v>28</v>
      </c>
      <c r="B46" s="10" t="inlineStr">
        <is>
          <t>I'm neutral</t>
        </is>
      </c>
      <c r="C46" s="10" t="inlineStr">
        <is>
          <t>I'm neutral</t>
        </is>
      </c>
      <c r="D46" s="10" t="inlineStr">
        <is>
          <t>I like it</t>
        </is>
      </c>
      <c r="E46" s="10" t="inlineStr">
        <is>
          <t>I dislike it</t>
        </is>
      </c>
      <c r="F46" s="10" t="inlineStr">
        <is>
          <t>I dislike it</t>
        </is>
      </c>
      <c r="G46" s="10" t="inlineStr">
        <is>
          <t>I'm neutral</t>
        </is>
      </c>
      <c r="H46" s="10" t="inlineStr">
        <is>
          <t>I'm neutral</t>
        </is>
      </c>
      <c r="I46" s="10" t="inlineStr">
        <is>
          <t>I can tolerate it</t>
        </is>
      </c>
      <c r="J46" s="10" t="inlineStr">
        <is>
          <t>I can tolerate it</t>
        </is>
      </c>
      <c r="K46" s="10" t="inlineStr">
        <is>
          <t>I can tolerate it</t>
        </is>
      </c>
      <c r="L46" s="10" t="inlineStr">
        <is>
          <t>I'm neutral</t>
        </is>
      </c>
      <c r="M46" s="10" t="inlineStr">
        <is>
          <t>I can tolerate it</t>
        </is>
      </c>
      <c r="N46" s="11">
        <f>IF(OR(B46="",C46=""),"",IFERROR(INDEX('Evaluation table'!$B$4:$F$8,MATCH(TRIM(SUBSTITUTE(B46,"’","'")),'Evaluation table'!$A$4:$A$8,0),MATCH(TRIM(SUBSTITUTE(C46,"’","'")),'Evaluation table'!$B$3:$F$3,0)),"?"))</f>
        <v/>
      </c>
      <c r="O46" s="11">
        <f>IF(OR(D46="",E46=""),"",IFERROR(INDEX('Evaluation table'!$B$4:$F$8,MATCH(TRIM(SUBSTITUTE(D46,"’","'")),'Evaluation table'!$A$4:$A$8,0),MATCH(TRIM(SUBSTITUTE(E46,"’","'")),'Evaluation table'!$B$3:$F$3,0)),"?"))</f>
        <v/>
      </c>
      <c r="P46" s="11">
        <f>IF(OR(F46="",G46=""),"",IFERROR(INDEX('Evaluation table'!$B$4:$F$8,MATCH(TRIM(SUBSTITUTE(F46,"’","'")),'Evaluation table'!$A$4:$A$8,0),MATCH(TRIM(SUBSTITUTE(G46,"’","'")),'Evaluation table'!$B$3:$F$3,0)),"?"))</f>
        <v/>
      </c>
      <c r="Q46" s="11">
        <f>IF(OR(H46="",I46=""),"",IFERROR(INDEX('Evaluation table'!$B$4:$F$8,MATCH(TRIM(SUBSTITUTE(H46,"’","'")),'Evaluation table'!$A$4:$A$8,0),MATCH(TRIM(SUBSTITUTE(I46,"’","'")),'Evaluation table'!$B$3:$F$3,0)),"?"))</f>
        <v/>
      </c>
      <c r="R46" s="11">
        <f>IF(OR(J46="",K46=""),"",IFERROR(INDEX('Evaluation table'!$B$4:$F$8,MATCH(TRIM(SUBSTITUTE(J46,"’","'")),'Evaluation table'!$A$4:$A$8,0),MATCH(TRIM(SUBSTITUTE(K46,"’","'")),'Evaluation table'!$B$3:$F$3,0)),"?"))</f>
        <v/>
      </c>
      <c r="S46" s="11">
        <f>IF(OR(L46="",M46=""),"",IFERROR(INDEX('Evaluation table'!$B$4:$F$8,MATCH(TRIM(SUBSTITUTE(L46,"’","'")),'Evaluation table'!$A$4:$A$8,0),MATCH(TRIM(SUBSTITUTE(M46,"’","'")),'Evaluation table'!$B$3:$F$3,0)),"?"))</f>
        <v/>
      </c>
    </row>
    <row r="47">
      <c r="A47" s="2" t="n">
        <v>29</v>
      </c>
      <c r="B47" s="10" t="inlineStr">
        <is>
          <t>I expect it</t>
        </is>
      </c>
      <c r="C47" s="10" t="inlineStr">
        <is>
          <t>I dislike it</t>
        </is>
      </c>
      <c r="D47" s="10" t="inlineStr">
        <is>
          <t>I expect it</t>
        </is>
      </c>
      <c r="E47" s="10" t="inlineStr">
        <is>
          <t>I dislike it</t>
        </is>
      </c>
      <c r="F47" s="10" t="inlineStr">
        <is>
          <t>I'm neutral</t>
        </is>
      </c>
      <c r="G47" s="10" t="inlineStr">
        <is>
          <t>I'm neutral</t>
        </is>
      </c>
      <c r="H47" s="10" t="inlineStr">
        <is>
          <t>I expect it</t>
        </is>
      </c>
      <c r="I47" s="10" t="inlineStr">
        <is>
          <t>I dislike it</t>
        </is>
      </c>
      <c r="J47" s="10" t="inlineStr">
        <is>
          <t>I like it</t>
        </is>
      </c>
      <c r="K47" s="10" t="inlineStr">
        <is>
          <t>I'm neutral</t>
        </is>
      </c>
      <c r="L47" s="10" t="inlineStr">
        <is>
          <t>I'm neutral</t>
        </is>
      </c>
      <c r="M47" s="10" t="inlineStr">
        <is>
          <t>I dislike it</t>
        </is>
      </c>
      <c r="N47" s="11">
        <f>IF(OR(B47="",C47=""),"",IFERROR(INDEX('Evaluation table'!$B$4:$F$8,MATCH(TRIM(SUBSTITUTE(B47,"’","'")),'Evaluation table'!$A$4:$A$8,0),MATCH(TRIM(SUBSTITUTE(C47,"’","'")),'Evaluation table'!$B$3:$F$3,0)),"?"))</f>
        <v/>
      </c>
      <c r="O47" s="11">
        <f>IF(OR(D47="",E47=""),"",IFERROR(INDEX('Evaluation table'!$B$4:$F$8,MATCH(TRIM(SUBSTITUTE(D47,"’","'")),'Evaluation table'!$A$4:$A$8,0),MATCH(TRIM(SUBSTITUTE(E47,"’","'")),'Evaluation table'!$B$3:$F$3,0)),"?"))</f>
        <v/>
      </c>
      <c r="P47" s="11">
        <f>IF(OR(F47="",G47=""),"",IFERROR(INDEX('Evaluation table'!$B$4:$F$8,MATCH(TRIM(SUBSTITUTE(F47,"’","'")),'Evaluation table'!$A$4:$A$8,0),MATCH(TRIM(SUBSTITUTE(G47,"’","'")),'Evaluation table'!$B$3:$F$3,0)),"?"))</f>
        <v/>
      </c>
      <c r="Q47" s="11">
        <f>IF(OR(H47="",I47=""),"",IFERROR(INDEX('Evaluation table'!$B$4:$F$8,MATCH(TRIM(SUBSTITUTE(H47,"’","'")),'Evaluation table'!$A$4:$A$8,0),MATCH(TRIM(SUBSTITUTE(I47,"’","'")),'Evaluation table'!$B$3:$F$3,0)),"?"))</f>
        <v/>
      </c>
      <c r="R47" s="11">
        <f>IF(OR(J47="",K47=""),"",IFERROR(INDEX('Evaluation table'!$B$4:$F$8,MATCH(TRIM(SUBSTITUTE(J47,"’","'")),'Evaluation table'!$A$4:$A$8,0),MATCH(TRIM(SUBSTITUTE(K47,"’","'")),'Evaluation table'!$B$3:$F$3,0)),"?"))</f>
        <v/>
      </c>
      <c r="S47" s="11">
        <f>IF(OR(L47="",M47=""),"",IFERROR(INDEX('Evaluation table'!$B$4:$F$8,MATCH(TRIM(SUBSTITUTE(L47,"’","'")),'Evaluation table'!$A$4:$A$8,0),MATCH(TRIM(SUBSTITUTE(M47,"’","'")),'Evaluation table'!$B$3:$F$3,0)),"?"))</f>
        <v/>
      </c>
    </row>
    <row r="48">
      <c r="A48" s="2" t="n">
        <v>30</v>
      </c>
      <c r="B48" s="10" t="inlineStr">
        <is>
          <t>I like it</t>
        </is>
      </c>
      <c r="C48" s="10" t="inlineStr">
        <is>
          <t>I'm neutral</t>
        </is>
      </c>
      <c r="D48" s="10" t="inlineStr">
        <is>
          <t>I like it</t>
        </is>
      </c>
      <c r="E48" s="10" t="inlineStr">
        <is>
          <t>I expect it</t>
        </is>
      </c>
      <c r="F48" s="10" t="inlineStr">
        <is>
          <t>I can tolerate it</t>
        </is>
      </c>
      <c r="G48" s="10" t="inlineStr">
        <is>
          <t>I'm neutral</t>
        </is>
      </c>
      <c r="H48" s="10" t="inlineStr">
        <is>
          <t>I like it</t>
        </is>
      </c>
      <c r="I48" s="10" t="inlineStr">
        <is>
          <t>I'm neutral</t>
        </is>
      </c>
      <c r="J48" s="10" t="inlineStr">
        <is>
          <t>I'm neutral</t>
        </is>
      </c>
      <c r="K48" s="10" t="inlineStr">
        <is>
          <t>I'm neutral</t>
        </is>
      </c>
      <c r="L48" s="10" t="inlineStr">
        <is>
          <t>I'm neutral</t>
        </is>
      </c>
      <c r="M48" s="10" t="inlineStr">
        <is>
          <t>I'm neutral</t>
        </is>
      </c>
      <c r="N48" s="11">
        <f>IF(OR(B48="",C48=""),"",IFERROR(INDEX('Evaluation table'!$B$4:$F$8,MATCH(TRIM(SUBSTITUTE(B48,"’","'")),'Evaluation table'!$A$4:$A$8,0),MATCH(TRIM(SUBSTITUTE(C48,"’","'")),'Evaluation table'!$B$3:$F$3,0)),"?"))</f>
        <v/>
      </c>
      <c r="O48" s="11">
        <f>IF(OR(D48="",E48=""),"",IFERROR(INDEX('Evaluation table'!$B$4:$F$8,MATCH(TRIM(SUBSTITUTE(D48,"’","'")),'Evaluation table'!$A$4:$A$8,0),MATCH(TRIM(SUBSTITUTE(E48,"’","'")),'Evaluation table'!$B$3:$F$3,0)),"?"))</f>
        <v/>
      </c>
      <c r="P48" s="11">
        <f>IF(OR(F48="",G48=""),"",IFERROR(INDEX('Evaluation table'!$B$4:$F$8,MATCH(TRIM(SUBSTITUTE(F48,"’","'")),'Evaluation table'!$A$4:$A$8,0),MATCH(TRIM(SUBSTITUTE(G48,"’","'")),'Evaluation table'!$B$3:$F$3,0)),"?"))</f>
        <v/>
      </c>
      <c r="Q48" s="11">
        <f>IF(OR(H48="",I48=""),"",IFERROR(INDEX('Evaluation table'!$B$4:$F$8,MATCH(TRIM(SUBSTITUTE(H48,"’","'")),'Evaluation table'!$A$4:$A$8,0),MATCH(TRIM(SUBSTITUTE(I48,"’","'")),'Evaluation table'!$B$3:$F$3,0)),"?"))</f>
        <v/>
      </c>
      <c r="R48" s="11">
        <f>IF(OR(J48="",K48=""),"",IFERROR(INDEX('Evaluation table'!$B$4:$F$8,MATCH(TRIM(SUBSTITUTE(J48,"’","'")),'Evaluation table'!$A$4:$A$8,0),MATCH(TRIM(SUBSTITUTE(K48,"’","'")),'Evaluation table'!$B$3:$F$3,0)),"?"))</f>
        <v/>
      </c>
      <c r="S48" s="11">
        <f>IF(OR(L48="",M48=""),"",IFERROR(INDEX('Evaluation table'!$B$4:$F$8,MATCH(TRIM(SUBSTITUTE(L48,"’","'")),'Evaluation table'!$A$4:$A$8,0),MATCH(TRIM(SUBSTITUTE(M48,"’","'")),'Evaluation table'!$B$3:$F$3,0)),"?"))</f>
        <v/>
      </c>
    </row>
    <row r="49">
      <c r="A49" s="2" t="n">
        <v>31</v>
      </c>
      <c r="B49" s="10" t="inlineStr">
        <is>
          <t>I'm neutral</t>
        </is>
      </c>
      <c r="C49" s="10" t="inlineStr">
        <is>
          <t>I dislike it</t>
        </is>
      </c>
      <c r="D49" s="10" t="inlineStr">
        <is>
          <t>I like it</t>
        </is>
      </c>
      <c r="E49" s="10" t="inlineStr">
        <is>
          <t>I dislike it</t>
        </is>
      </c>
      <c r="F49" s="10" t="inlineStr">
        <is>
          <t>I like it</t>
        </is>
      </c>
      <c r="G49" s="10" t="inlineStr">
        <is>
          <t>I can tolerate it</t>
        </is>
      </c>
      <c r="H49" s="10" t="inlineStr">
        <is>
          <t>I like it</t>
        </is>
      </c>
      <c r="I49" s="10" t="inlineStr">
        <is>
          <t>I dislike it</t>
        </is>
      </c>
      <c r="J49" s="10" t="inlineStr">
        <is>
          <t>I'm neutral</t>
        </is>
      </c>
      <c r="K49" s="10" t="inlineStr">
        <is>
          <t>I'm neutral</t>
        </is>
      </c>
      <c r="L49" s="10" t="inlineStr">
        <is>
          <t>I'm neutral</t>
        </is>
      </c>
      <c r="M49" s="10" t="inlineStr">
        <is>
          <t>I can tolerate it</t>
        </is>
      </c>
      <c r="N49" s="11">
        <f>IF(OR(B49="",C49=""),"",IFERROR(INDEX('Evaluation table'!$B$4:$F$8,MATCH(TRIM(SUBSTITUTE(B49,"’","'")),'Evaluation table'!$A$4:$A$8,0),MATCH(TRIM(SUBSTITUTE(C49,"’","'")),'Evaluation table'!$B$3:$F$3,0)),"?"))</f>
        <v/>
      </c>
      <c r="O49" s="11">
        <f>IF(OR(D49="",E49=""),"",IFERROR(INDEX('Evaluation table'!$B$4:$F$8,MATCH(TRIM(SUBSTITUTE(D49,"’","'")),'Evaluation table'!$A$4:$A$8,0),MATCH(TRIM(SUBSTITUTE(E49,"’","'")),'Evaluation table'!$B$3:$F$3,0)),"?"))</f>
        <v/>
      </c>
      <c r="P49" s="11">
        <f>IF(OR(F49="",G49=""),"",IFERROR(INDEX('Evaluation table'!$B$4:$F$8,MATCH(TRIM(SUBSTITUTE(F49,"’","'")),'Evaluation table'!$A$4:$A$8,0),MATCH(TRIM(SUBSTITUTE(G49,"’","'")),'Evaluation table'!$B$3:$F$3,0)),"?"))</f>
        <v/>
      </c>
      <c r="Q49" s="11">
        <f>IF(OR(H49="",I49=""),"",IFERROR(INDEX('Evaluation table'!$B$4:$F$8,MATCH(TRIM(SUBSTITUTE(H49,"’","'")),'Evaluation table'!$A$4:$A$8,0),MATCH(TRIM(SUBSTITUTE(I49,"’","'")),'Evaluation table'!$B$3:$F$3,0)),"?"))</f>
        <v/>
      </c>
      <c r="R49" s="11">
        <f>IF(OR(J49="",K49=""),"",IFERROR(INDEX('Evaluation table'!$B$4:$F$8,MATCH(TRIM(SUBSTITUTE(J49,"’","'")),'Evaluation table'!$A$4:$A$8,0),MATCH(TRIM(SUBSTITUTE(K49,"’","'")),'Evaluation table'!$B$3:$F$3,0)),"?"))</f>
        <v/>
      </c>
      <c r="S49" s="11">
        <f>IF(OR(L49="",M49=""),"",IFERROR(INDEX('Evaluation table'!$B$4:$F$8,MATCH(TRIM(SUBSTITUTE(L49,"’","'")),'Evaluation table'!$A$4:$A$8,0),MATCH(TRIM(SUBSTITUTE(M49,"’","'")),'Evaluation table'!$B$3:$F$3,0)),"?"))</f>
        <v/>
      </c>
    </row>
    <row r="50">
      <c r="A50" s="2" t="n">
        <v>32</v>
      </c>
      <c r="B50" s="10" t="inlineStr">
        <is>
          <t>I like it</t>
        </is>
      </c>
      <c r="C50" s="10" t="inlineStr">
        <is>
          <t>I dislike it</t>
        </is>
      </c>
      <c r="D50" s="10" t="inlineStr">
        <is>
          <t>I like it</t>
        </is>
      </c>
      <c r="E50" s="10" t="inlineStr">
        <is>
          <t>I dislike it</t>
        </is>
      </c>
      <c r="F50" s="10" t="inlineStr">
        <is>
          <t>I can tolerate it</t>
        </is>
      </c>
      <c r="G50" s="10" t="inlineStr">
        <is>
          <t>I like it</t>
        </is>
      </c>
      <c r="H50" s="10" t="inlineStr">
        <is>
          <t>I like it</t>
        </is>
      </c>
      <c r="I50" s="10" t="inlineStr">
        <is>
          <t>I'm neutral</t>
        </is>
      </c>
      <c r="J50" s="10" t="inlineStr">
        <is>
          <t>I can tolerate it</t>
        </is>
      </c>
      <c r="K50" s="10" t="inlineStr">
        <is>
          <t>I'm neutral</t>
        </is>
      </c>
      <c r="L50" s="10" t="inlineStr">
        <is>
          <t>I'm neutral</t>
        </is>
      </c>
      <c r="M50" s="10" t="inlineStr">
        <is>
          <t>I'm neutral</t>
        </is>
      </c>
      <c r="N50" s="11">
        <f>IF(OR(B50="",C50=""),"",IFERROR(INDEX('Evaluation table'!$B$4:$F$8,MATCH(TRIM(SUBSTITUTE(B50,"’","'")),'Evaluation table'!$A$4:$A$8,0),MATCH(TRIM(SUBSTITUTE(C50,"’","'")),'Evaluation table'!$B$3:$F$3,0)),"?"))</f>
        <v/>
      </c>
      <c r="O50" s="11">
        <f>IF(OR(D50="",E50=""),"",IFERROR(INDEX('Evaluation table'!$B$4:$F$8,MATCH(TRIM(SUBSTITUTE(D50,"’","'")),'Evaluation table'!$A$4:$A$8,0),MATCH(TRIM(SUBSTITUTE(E50,"’","'")),'Evaluation table'!$B$3:$F$3,0)),"?"))</f>
        <v/>
      </c>
      <c r="P50" s="11">
        <f>IF(OR(F50="",G50=""),"",IFERROR(INDEX('Evaluation table'!$B$4:$F$8,MATCH(TRIM(SUBSTITUTE(F50,"’","'")),'Evaluation table'!$A$4:$A$8,0),MATCH(TRIM(SUBSTITUTE(G50,"’","'")),'Evaluation table'!$B$3:$F$3,0)),"?"))</f>
        <v/>
      </c>
      <c r="Q50" s="11">
        <f>IF(OR(H50="",I50=""),"",IFERROR(INDEX('Evaluation table'!$B$4:$F$8,MATCH(TRIM(SUBSTITUTE(H50,"’","'")),'Evaluation table'!$A$4:$A$8,0),MATCH(TRIM(SUBSTITUTE(I50,"’","'")),'Evaluation table'!$B$3:$F$3,0)),"?"))</f>
        <v/>
      </c>
      <c r="R50" s="11">
        <f>IF(OR(J50="",K50=""),"",IFERROR(INDEX('Evaluation table'!$B$4:$F$8,MATCH(TRIM(SUBSTITUTE(J50,"’","'")),'Evaluation table'!$A$4:$A$8,0),MATCH(TRIM(SUBSTITUTE(K50,"’","'")),'Evaluation table'!$B$3:$F$3,0)),"?"))</f>
        <v/>
      </c>
      <c r="S50" s="11">
        <f>IF(OR(L50="",M50=""),"",IFERROR(INDEX('Evaluation table'!$B$4:$F$8,MATCH(TRIM(SUBSTITUTE(L50,"’","'")),'Evaluation table'!$A$4:$A$8,0),MATCH(TRIM(SUBSTITUTE(M50,"’","'")),'Evaluation table'!$B$3:$F$3,0)),"?"))</f>
        <v/>
      </c>
    </row>
    <row r="51">
      <c r="A51" s="2" t="n">
        <v>33</v>
      </c>
      <c r="B51" s="10" t="inlineStr">
        <is>
          <t>I expect it</t>
        </is>
      </c>
      <c r="C51" s="10" t="inlineStr">
        <is>
          <t>I dislike it</t>
        </is>
      </c>
      <c r="D51" s="10" t="inlineStr">
        <is>
          <t>I like it</t>
        </is>
      </c>
      <c r="E51" s="10" t="inlineStr">
        <is>
          <t>I dislike it</t>
        </is>
      </c>
      <c r="F51" s="10" t="inlineStr">
        <is>
          <t>I like it</t>
        </is>
      </c>
      <c r="G51" s="10" t="inlineStr">
        <is>
          <t>I dislike it</t>
        </is>
      </c>
      <c r="H51" s="10" t="inlineStr">
        <is>
          <t>I like it</t>
        </is>
      </c>
      <c r="I51" s="10" t="inlineStr">
        <is>
          <t>I expect it</t>
        </is>
      </c>
      <c r="J51" s="10" t="inlineStr">
        <is>
          <t>I expect it</t>
        </is>
      </c>
      <c r="K51" s="10" t="inlineStr">
        <is>
          <t>I expect it</t>
        </is>
      </c>
      <c r="L51" s="10" t="inlineStr">
        <is>
          <t>I like it</t>
        </is>
      </c>
      <c r="M51" s="10" t="inlineStr">
        <is>
          <t>I dislike it</t>
        </is>
      </c>
      <c r="N51" s="11">
        <f>IF(OR(B51="",C51=""),"",IFERROR(INDEX('Evaluation table'!$B$4:$F$8,MATCH(TRIM(SUBSTITUTE(B51,"’","'")),'Evaluation table'!$A$4:$A$8,0),MATCH(TRIM(SUBSTITUTE(C51,"’","'")),'Evaluation table'!$B$3:$F$3,0)),"?"))</f>
        <v/>
      </c>
      <c r="O51" s="11">
        <f>IF(OR(D51="",E51=""),"",IFERROR(INDEX('Evaluation table'!$B$4:$F$8,MATCH(TRIM(SUBSTITUTE(D51,"’","'")),'Evaluation table'!$A$4:$A$8,0),MATCH(TRIM(SUBSTITUTE(E51,"’","'")),'Evaluation table'!$B$3:$F$3,0)),"?"))</f>
        <v/>
      </c>
      <c r="P51" s="11">
        <f>IF(OR(F51="",G51=""),"",IFERROR(INDEX('Evaluation table'!$B$4:$F$8,MATCH(TRIM(SUBSTITUTE(F51,"’","'")),'Evaluation table'!$A$4:$A$8,0),MATCH(TRIM(SUBSTITUTE(G51,"’","'")),'Evaluation table'!$B$3:$F$3,0)),"?"))</f>
        <v/>
      </c>
      <c r="Q51" s="11">
        <f>IF(OR(H51="",I51=""),"",IFERROR(INDEX('Evaluation table'!$B$4:$F$8,MATCH(TRIM(SUBSTITUTE(H51,"’","'")),'Evaluation table'!$A$4:$A$8,0),MATCH(TRIM(SUBSTITUTE(I51,"’","'")),'Evaluation table'!$B$3:$F$3,0)),"?"))</f>
        <v/>
      </c>
      <c r="R51" s="11">
        <f>IF(OR(J51="",K51=""),"",IFERROR(INDEX('Evaluation table'!$B$4:$F$8,MATCH(TRIM(SUBSTITUTE(J51,"’","'")),'Evaluation table'!$A$4:$A$8,0),MATCH(TRIM(SUBSTITUTE(K51,"’","'")),'Evaluation table'!$B$3:$F$3,0)),"?"))</f>
        <v/>
      </c>
      <c r="S51" s="11">
        <f>IF(OR(L51="",M51=""),"",IFERROR(INDEX('Evaluation table'!$B$4:$F$8,MATCH(TRIM(SUBSTITUTE(L51,"’","'")),'Evaluation table'!$A$4:$A$8,0),MATCH(TRIM(SUBSTITUTE(M51,"’","'")),'Evaluation table'!$B$3:$F$3,0)),"?"))</f>
        <v/>
      </c>
    </row>
    <row r="52">
      <c r="A52" s="2" t="n">
        <v>34</v>
      </c>
      <c r="B52" s="10" t="inlineStr">
        <is>
          <t>I can tolerate it</t>
        </is>
      </c>
      <c r="C52" s="10" t="inlineStr">
        <is>
          <t>I dislike it</t>
        </is>
      </c>
      <c r="D52" s="10" t="inlineStr">
        <is>
          <t>I like it</t>
        </is>
      </c>
      <c r="E52" s="10" t="inlineStr">
        <is>
          <t>I dislike it</t>
        </is>
      </c>
      <c r="F52" s="10" t="inlineStr">
        <is>
          <t>I like it</t>
        </is>
      </c>
      <c r="G52" s="10" t="inlineStr">
        <is>
          <t>I'm neutral</t>
        </is>
      </c>
      <c r="H52" s="10" t="inlineStr">
        <is>
          <t>I expect it</t>
        </is>
      </c>
      <c r="I52" s="10" t="inlineStr">
        <is>
          <t>I expect it</t>
        </is>
      </c>
      <c r="J52" s="10" t="inlineStr">
        <is>
          <t>I'm neutral</t>
        </is>
      </c>
      <c r="K52" s="10" t="inlineStr">
        <is>
          <t>I dislike it</t>
        </is>
      </c>
      <c r="L52" s="10" t="inlineStr">
        <is>
          <t>I'm neutral</t>
        </is>
      </c>
      <c r="M52" s="10" t="inlineStr">
        <is>
          <t>I dislike it</t>
        </is>
      </c>
      <c r="N52" s="11">
        <f>IF(OR(B52="",C52=""),"",IFERROR(INDEX('Evaluation table'!$B$4:$F$8,MATCH(TRIM(SUBSTITUTE(B52,"’","'")),'Evaluation table'!$A$4:$A$8,0),MATCH(TRIM(SUBSTITUTE(C52,"’","'")),'Evaluation table'!$B$3:$F$3,0)),"?"))</f>
        <v/>
      </c>
      <c r="O52" s="11">
        <f>IF(OR(D52="",E52=""),"",IFERROR(INDEX('Evaluation table'!$B$4:$F$8,MATCH(TRIM(SUBSTITUTE(D52,"’","'")),'Evaluation table'!$A$4:$A$8,0),MATCH(TRIM(SUBSTITUTE(E52,"’","'")),'Evaluation table'!$B$3:$F$3,0)),"?"))</f>
        <v/>
      </c>
      <c r="P52" s="11">
        <f>IF(OR(F52="",G52=""),"",IFERROR(INDEX('Evaluation table'!$B$4:$F$8,MATCH(TRIM(SUBSTITUTE(F52,"’","'")),'Evaluation table'!$A$4:$A$8,0),MATCH(TRIM(SUBSTITUTE(G52,"’","'")),'Evaluation table'!$B$3:$F$3,0)),"?"))</f>
        <v/>
      </c>
      <c r="Q52" s="11">
        <f>IF(OR(H52="",I52=""),"",IFERROR(INDEX('Evaluation table'!$B$4:$F$8,MATCH(TRIM(SUBSTITUTE(H52,"’","'")),'Evaluation table'!$A$4:$A$8,0),MATCH(TRIM(SUBSTITUTE(I52,"’","'")),'Evaluation table'!$B$3:$F$3,0)),"?"))</f>
        <v/>
      </c>
      <c r="R52" s="11">
        <f>IF(OR(J52="",K52=""),"",IFERROR(INDEX('Evaluation table'!$B$4:$F$8,MATCH(TRIM(SUBSTITUTE(J52,"’","'")),'Evaluation table'!$A$4:$A$8,0),MATCH(TRIM(SUBSTITUTE(K52,"’","'")),'Evaluation table'!$B$3:$F$3,0)),"?"))</f>
        <v/>
      </c>
      <c r="S52" s="11">
        <f>IF(OR(L52="",M52=""),"",IFERROR(INDEX('Evaluation table'!$B$4:$F$8,MATCH(TRIM(SUBSTITUTE(L52,"’","'")),'Evaluation table'!$A$4:$A$8,0),MATCH(TRIM(SUBSTITUTE(M52,"’","'")),'Evaluation table'!$B$3:$F$3,0)),"?"))</f>
        <v/>
      </c>
    </row>
    <row r="53">
      <c r="A53" s="2" t="n">
        <v>35</v>
      </c>
      <c r="B53" s="10" t="inlineStr">
        <is>
          <t>I expect it</t>
        </is>
      </c>
      <c r="C53" s="10" t="inlineStr">
        <is>
          <t>I dislike it</t>
        </is>
      </c>
      <c r="D53" s="10" t="inlineStr">
        <is>
          <t>I like it</t>
        </is>
      </c>
      <c r="E53" s="10" t="inlineStr">
        <is>
          <t>I dislike it</t>
        </is>
      </c>
      <c r="F53" s="10" t="inlineStr">
        <is>
          <t>I can tolerate it</t>
        </is>
      </c>
      <c r="G53" s="10" t="inlineStr">
        <is>
          <t>I'm neutral</t>
        </is>
      </c>
      <c r="H53" s="10" t="inlineStr">
        <is>
          <t>I'm neutral</t>
        </is>
      </c>
      <c r="I53" s="10" t="inlineStr">
        <is>
          <t>I'm neutral</t>
        </is>
      </c>
      <c r="J53" s="10" t="inlineStr">
        <is>
          <t>I'm neutral</t>
        </is>
      </c>
      <c r="K53" s="10" t="inlineStr">
        <is>
          <t>I'm neutral</t>
        </is>
      </c>
      <c r="L53" s="10" t="inlineStr">
        <is>
          <t>I like it</t>
        </is>
      </c>
      <c r="M53" s="10" t="inlineStr">
        <is>
          <t>I dislike it</t>
        </is>
      </c>
      <c r="N53" s="11">
        <f>IF(OR(B53="",C53=""),"",IFERROR(INDEX('Evaluation table'!$B$4:$F$8,MATCH(TRIM(SUBSTITUTE(B53,"’","'")),'Evaluation table'!$A$4:$A$8,0),MATCH(TRIM(SUBSTITUTE(C53,"’","'")),'Evaluation table'!$B$3:$F$3,0)),"?"))</f>
        <v/>
      </c>
      <c r="O53" s="11">
        <f>IF(OR(D53="",E53=""),"",IFERROR(INDEX('Evaluation table'!$B$4:$F$8,MATCH(TRIM(SUBSTITUTE(D53,"’","'")),'Evaluation table'!$A$4:$A$8,0),MATCH(TRIM(SUBSTITUTE(E53,"’","'")),'Evaluation table'!$B$3:$F$3,0)),"?"))</f>
        <v/>
      </c>
      <c r="P53" s="11">
        <f>IF(OR(F53="",G53=""),"",IFERROR(INDEX('Evaluation table'!$B$4:$F$8,MATCH(TRIM(SUBSTITUTE(F53,"’","'")),'Evaluation table'!$A$4:$A$8,0),MATCH(TRIM(SUBSTITUTE(G53,"’","'")),'Evaluation table'!$B$3:$F$3,0)),"?"))</f>
        <v/>
      </c>
      <c r="Q53" s="11">
        <f>IF(OR(H53="",I53=""),"",IFERROR(INDEX('Evaluation table'!$B$4:$F$8,MATCH(TRIM(SUBSTITUTE(H53,"’","'")),'Evaluation table'!$A$4:$A$8,0),MATCH(TRIM(SUBSTITUTE(I53,"’","'")),'Evaluation table'!$B$3:$F$3,0)),"?"))</f>
        <v/>
      </c>
      <c r="R53" s="11">
        <f>IF(OR(J53="",K53=""),"",IFERROR(INDEX('Evaluation table'!$B$4:$F$8,MATCH(TRIM(SUBSTITUTE(J53,"’","'")),'Evaluation table'!$A$4:$A$8,0),MATCH(TRIM(SUBSTITUTE(K53,"’","'")),'Evaluation table'!$B$3:$F$3,0)),"?"))</f>
        <v/>
      </c>
      <c r="S53" s="11">
        <f>IF(OR(L53="",M53=""),"",IFERROR(INDEX('Evaluation table'!$B$4:$F$8,MATCH(TRIM(SUBSTITUTE(L53,"’","'")),'Evaluation table'!$A$4:$A$8,0),MATCH(TRIM(SUBSTITUTE(M53,"’","'")),'Evaluation table'!$B$3:$F$3,0)),"?"))</f>
        <v/>
      </c>
    </row>
    <row r="54">
      <c r="A54" s="2" t="n">
        <v>36</v>
      </c>
      <c r="B54" s="10" t="inlineStr">
        <is>
          <t>I expect it</t>
        </is>
      </c>
      <c r="C54" s="10" t="inlineStr">
        <is>
          <t>I dislike it</t>
        </is>
      </c>
      <c r="D54" s="10" t="inlineStr">
        <is>
          <t>I like it</t>
        </is>
      </c>
      <c r="E54" s="10" t="inlineStr">
        <is>
          <t>I dislike it</t>
        </is>
      </c>
      <c r="F54" s="10" t="inlineStr">
        <is>
          <t>I like it</t>
        </is>
      </c>
      <c r="G54" s="10" t="inlineStr">
        <is>
          <t>I'm neutral</t>
        </is>
      </c>
      <c r="H54" s="10" t="inlineStr">
        <is>
          <t>I expect it</t>
        </is>
      </c>
      <c r="I54" s="10" t="inlineStr">
        <is>
          <t>I dislike it</t>
        </is>
      </c>
      <c r="J54" s="10" t="inlineStr">
        <is>
          <t>I can tolerate it</t>
        </is>
      </c>
      <c r="K54" s="10" t="inlineStr">
        <is>
          <t>I'm neutral</t>
        </is>
      </c>
      <c r="L54" s="10" t="inlineStr">
        <is>
          <t>I'm neutral</t>
        </is>
      </c>
      <c r="M54" s="10" t="inlineStr">
        <is>
          <t>I like it</t>
        </is>
      </c>
      <c r="N54" s="11">
        <f>IF(OR(B54="",C54=""),"",IFERROR(INDEX('Evaluation table'!$B$4:$F$8,MATCH(TRIM(SUBSTITUTE(B54,"’","'")),'Evaluation table'!$A$4:$A$8,0),MATCH(TRIM(SUBSTITUTE(C54,"’","'")),'Evaluation table'!$B$3:$F$3,0)),"?"))</f>
        <v/>
      </c>
      <c r="O54" s="11">
        <f>IF(OR(D54="",E54=""),"",IFERROR(INDEX('Evaluation table'!$B$4:$F$8,MATCH(TRIM(SUBSTITUTE(D54,"’","'")),'Evaluation table'!$A$4:$A$8,0),MATCH(TRIM(SUBSTITUTE(E54,"’","'")),'Evaluation table'!$B$3:$F$3,0)),"?"))</f>
        <v/>
      </c>
      <c r="P54" s="11">
        <f>IF(OR(F54="",G54=""),"",IFERROR(INDEX('Evaluation table'!$B$4:$F$8,MATCH(TRIM(SUBSTITUTE(F54,"’","'")),'Evaluation table'!$A$4:$A$8,0),MATCH(TRIM(SUBSTITUTE(G54,"’","'")),'Evaluation table'!$B$3:$F$3,0)),"?"))</f>
        <v/>
      </c>
      <c r="Q54" s="11">
        <f>IF(OR(H54="",I54=""),"",IFERROR(INDEX('Evaluation table'!$B$4:$F$8,MATCH(TRIM(SUBSTITUTE(H54,"’","'")),'Evaluation table'!$A$4:$A$8,0),MATCH(TRIM(SUBSTITUTE(I54,"’","'")),'Evaluation table'!$B$3:$F$3,0)),"?"))</f>
        <v/>
      </c>
      <c r="R54" s="11">
        <f>IF(OR(J54="",K54=""),"",IFERROR(INDEX('Evaluation table'!$B$4:$F$8,MATCH(TRIM(SUBSTITUTE(J54,"’","'")),'Evaluation table'!$A$4:$A$8,0),MATCH(TRIM(SUBSTITUTE(K54,"’","'")),'Evaluation table'!$B$3:$F$3,0)),"?"))</f>
        <v/>
      </c>
      <c r="S54" s="11">
        <f>IF(OR(L54="",M54=""),"",IFERROR(INDEX('Evaluation table'!$B$4:$F$8,MATCH(TRIM(SUBSTITUTE(L54,"’","'")),'Evaluation table'!$A$4:$A$8,0),MATCH(TRIM(SUBSTITUTE(M54,"’","'")),'Evaluation table'!$B$3:$F$3,0)),"?"))</f>
        <v/>
      </c>
    </row>
    <row r="55">
      <c r="A55" s="2" t="n">
        <v>37</v>
      </c>
      <c r="B55" s="10" t="inlineStr">
        <is>
          <t>I expect it</t>
        </is>
      </c>
      <c r="C55" s="10" t="inlineStr">
        <is>
          <t>I dislike it</t>
        </is>
      </c>
      <c r="D55" s="10" t="inlineStr">
        <is>
          <t>I like it</t>
        </is>
      </c>
      <c r="E55" s="10" t="inlineStr">
        <is>
          <t>I dislike it</t>
        </is>
      </c>
      <c r="F55" s="10" t="inlineStr">
        <is>
          <t>I can tolerate it</t>
        </is>
      </c>
      <c r="G55" s="10" t="inlineStr">
        <is>
          <t>I can tolerate it</t>
        </is>
      </c>
      <c r="H55" s="10" t="inlineStr">
        <is>
          <t>I like it</t>
        </is>
      </c>
      <c r="I55" s="10" t="inlineStr">
        <is>
          <t>I dislike it</t>
        </is>
      </c>
      <c r="J55" s="10" t="inlineStr">
        <is>
          <t>I'm neutral</t>
        </is>
      </c>
      <c r="K55" s="10" t="inlineStr">
        <is>
          <t>I'm neutral</t>
        </is>
      </c>
      <c r="L55" s="10" t="inlineStr">
        <is>
          <t>I dislike it</t>
        </is>
      </c>
      <c r="M55" s="10" t="inlineStr">
        <is>
          <t>I'm neutral</t>
        </is>
      </c>
      <c r="N55" s="11">
        <f>IF(OR(B55="",C55=""),"",IFERROR(INDEX('Evaluation table'!$B$4:$F$8,MATCH(TRIM(SUBSTITUTE(B55,"’","'")),'Evaluation table'!$A$4:$A$8,0),MATCH(TRIM(SUBSTITUTE(C55,"’","'")),'Evaluation table'!$B$3:$F$3,0)),"?"))</f>
        <v/>
      </c>
      <c r="O55" s="11">
        <f>IF(OR(D55="",E55=""),"",IFERROR(INDEX('Evaluation table'!$B$4:$F$8,MATCH(TRIM(SUBSTITUTE(D55,"’","'")),'Evaluation table'!$A$4:$A$8,0),MATCH(TRIM(SUBSTITUTE(E55,"’","'")),'Evaluation table'!$B$3:$F$3,0)),"?"))</f>
        <v/>
      </c>
      <c r="P55" s="11">
        <f>IF(OR(F55="",G55=""),"",IFERROR(INDEX('Evaluation table'!$B$4:$F$8,MATCH(TRIM(SUBSTITUTE(F55,"’","'")),'Evaluation table'!$A$4:$A$8,0),MATCH(TRIM(SUBSTITUTE(G55,"’","'")),'Evaluation table'!$B$3:$F$3,0)),"?"))</f>
        <v/>
      </c>
      <c r="Q55" s="11">
        <f>IF(OR(H55="",I55=""),"",IFERROR(INDEX('Evaluation table'!$B$4:$F$8,MATCH(TRIM(SUBSTITUTE(H55,"’","'")),'Evaluation table'!$A$4:$A$8,0),MATCH(TRIM(SUBSTITUTE(I55,"’","'")),'Evaluation table'!$B$3:$F$3,0)),"?"))</f>
        <v/>
      </c>
      <c r="R55" s="11">
        <f>IF(OR(J55="",K55=""),"",IFERROR(INDEX('Evaluation table'!$B$4:$F$8,MATCH(TRIM(SUBSTITUTE(J55,"’","'")),'Evaluation table'!$A$4:$A$8,0),MATCH(TRIM(SUBSTITUTE(K55,"’","'")),'Evaluation table'!$B$3:$F$3,0)),"?"))</f>
        <v/>
      </c>
      <c r="S55" s="11">
        <f>IF(OR(L55="",M55=""),"",IFERROR(INDEX('Evaluation table'!$B$4:$F$8,MATCH(TRIM(SUBSTITUTE(L55,"’","'")),'Evaluation table'!$A$4:$A$8,0),MATCH(TRIM(SUBSTITUTE(M55,"’","'")),'Evaluation table'!$B$3:$F$3,0)),"?"))</f>
        <v/>
      </c>
    </row>
    <row r="56">
      <c r="A56" s="2" t="n">
        <v>38</v>
      </c>
      <c r="B56" s="10" t="inlineStr">
        <is>
          <t>I like it</t>
        </is>
      </c>
      <c r="C56" s="10" t="inlineStr">
        <is>
          <t>I dislike it</t>
        </is>
      </c>
      <c r="D56" s="10" t="inlineStr">
        <is>
          <t>I like it</t>
        </is>
      </c>
      <c r="E56" s="10" t="inlineStr">
        <is>
          <t>I dislike it</t>
        </is>
      </c>
      <c r="F56" s="10" t="inlineStr">
        <is>
          <t>I like it</t>
        </is>
      </c>
      <c r="G56" s="10" t="inlineStr">
        <is>
          <t>I can tolerate it</t>
        </is>
      </c>
      <c r="H56" s="10" t="inlineStr">
        <is>
          <t>I like it</t>
        </is>
      </c>
      <c r="I56" s="10" t="inlineStr">
        <is>
          <t>I'm neutral</t>
        </is>
      </c>
      <c r="J56" s="10" t="inlineStr">
        <is>
          <t>I'm neutral</t>
        </is>
      </c>
      <c r="K56" s="10" t="inlineStr">
        <is>
          <t>I'm neutral</t>
        </is>
      </c>
      <c r="L56" s="10" t="inlineStr">
        <is>
          <t>I dislike it</t>
        </is>
      </c>
      <c r="M56" s="10" t="inlineStr">
        <is>
          <t>I'm neutral</t>
        </is>
      </c>
      <c r="N56" s="11">
        <f>IF(OR(B56="",C56=""),"",IFERROR(INDEX('Evaluation table'!$B$4:$F$8,MATCH(TRIM(SUBSTITUTE(B56,"’","'")),'Evaluation table'!$A$4:$A$8,0),MATCH(TRIM(SUBSTITUTE(C56,"’","'")),'Evaluation table'!$B$3:$F$3,0)),"?"))</f>
        <v/>
      </c>
      <c r="O56" s="11">
        <f>IF(OR(D56="",E56=""),"",IFERROR(INDEX('Evaluation table'!$B$4:$F$8,MATCH(TRIM(SUBSTITUTE(D56,"’","'")),'Evaluation table'!$A$4:$A$8,0),MATCH(TRIM(SUBSTITUTE(E56,"’","'")),'Evaluation table'!$B$3:$F$3,0)),"?"))</f>
        <v/>
      </c>
      <c r="P56" s="11">
        <f>IF(OR(F56="",G56=""),"",IFERROR(INDEX('Evaluation table'!$B$4:$F$8,MATCH(TRIM(SUBSTITUTE(F56,"’","'")),'Evaluation table'!$A$4:$A$8,0),MATCH(TRIM(SUBSTITUTE(G56,"’","'")),'Evaluation table'!$B$3:$F$3,0)),"?"))</f>
        <v/>
      </c>
      <c r="Q56" s="11">
        <f>IF(OR(H56="",I56=""),"",IFERROR(INDEX('Evaluation table'!$B$4:$F$8,MATCH(TRIM(SUBSTITUTE(H56,"’","'")),'Evaluation table'!$A$4:$A$8,0),MATCH(TRIM(SUBSTITUTE(I56,"’","'")),'Evaluation table'!$B$3:$F$3,0)),"?"))</f>
        <v/>
      </c>
      <c r="R56" s="11">
        <f>IF(OR(J56="",K56=""),"",IFERROR(INDEX('Evaluation table'!$B$4:$F$8,MATCH(TRIM(SUBSTITUTE(J56,"’","'")),'Evaluation table'!$A$4:$A$8,0),MATCH(TRIM(SUBSTITUTE(K56,"’","'")),'Evaluation table'!$B$3:$F$3,0)),"?"))</f>
        <v/>
      </c>
      <c r="S56" s="11">
        <f>IF(OR(L56="",M56=""),"",IFERROR(INDEX('Evaluation table'!$B$4:$F$8,MATCH(TRIM(SUBSTITUTE(L56,"’","'")),'Evaluation table'!$A$4:$A$8,0),MATCH(TRIM(SUBSTITUTE(M56,"’","'")),'Evaluation table'!$B$3:$F$3,0)),"?"))</f>
        <v/>
      </c>
    </row>
    <row r="57">
      <c r="A57" s="2" t="n">
        <v>39</v>
      </c>
      <c r="B57" s="10" t="inlineStr">
        <is>
          <t>I expect it</t>
        </is>
      </c>
      <c r="C57" s="10" t="inlineStr">
        <is>
          <t>I dislike it</t>
        </is>
      </c>
      <c r="D57" s="10" t="inlineStr">
        <is>
          <t>I like it</t>
        </is>
      </c>
      <c r="E57" s="10" t="inlineStr">
        <is>
          <t>I dislike it</t>
        </is>
      </c>
      <c r="F57" s="10" t="inlineStr">
        <is>
          <t>I like it</t>
        </is>
      </c>
      <c r="G57" s="10" t="inlineStr">
        <is>
          <t>I expect it</t>
        </is>
      </c>
      <c r="H57" s="10" t="inlineStr">
        <is>
          <t>I'm neutral</t>
        </is>
      </c>
      <c r="I57" s="10" t="inlineStr">
        <is>
          <t>I'm neutral</t>
        </is>
      </c>
      <c r="J57" s="10" t="inlineStr">
        <is>
          <t>I expect it</t>
        </is>
      </c>
      <c r="K57" s="10" t="inlineStr">
        <is>
          <t>I'm neutral</t>
        </is>
      </c>
      <c r="L57" s="10" t="inlineStr">
        <is>
          <t>I'm neutral</t>
        </is>
      </c>
      <c r="M57" s="10" t="inlineStr">
        <is>
          <t>I can tolerate it</t>
        </is>
      </c>
      <c r="N57" s="11">
        <f>IF(OR(B57="",C57=""),"",IFERROR(INDEX('Evaluation table'!$B$4:$F$8,MATCH(TRIM(SUBSTITUTE(B57,"’","'")),'Evaluation table'!$A$4:$A$8,0),MATCH(TRIM(SUBSTITUTE(C57,"’","'")),'Evaluation table'!$B$3:$F$3,0)),"?"))</f>
        <v/>
      </c>
      <c r="O57" s="11">
        <f>IF(OR(D57="",E57=""),"",IFERROR(INDEX('Evaluation table'!$B$4:$F$8,MATCH(TRIM(SUBSTITUTE(D57,"’","'")),'Evaluation table'!$A$4:$A$8,0),MATCH(TRIM(SUBSTITUTE(E57,"’","'")),'Evaluation table'!$B$3:$F$3,0)),"?"))</f>
        <v/>
      </c>
      <c r="P57" s="11">
        <f>IF(OR(F57="",G57=""),"",IFERROR(INDEX('Evaluation table'!$B$4:$F$8,MATCH(TRIM(SUBSTITUTE(F57,"’","'")),'Evaluation table'!$A$4:$A$8,0),MATCH(TRIM(SUBSTITUTE(G57,"’","'")),'Evaluation table'!$B$3:$F$3,0)),"?"))</f>
        <v/>
      </c>
      <c r="Q57" s="11">
        <f>IF(OR(H57="",I57=""),"",IFERROR(INDEX('Evaluation table'!$B$4:$F$8,MATCH(TRIM(SUBSTITUTE(H57,"’","'")),'Evaluation table'!$A$4:$A$8,0),MATCH(TRIM(SUBSTITUTE(I57,"’","'")),'Evaluation table'!$B$3:$F$3,0)),"?"))</f>
        <v/>
      </c>
      <c r="R57" s="11">
        <f>IF(OR(J57="",K57=""),"",IFERROR(INDEX('Evaluation table'!$B$4:$F$8,MATCH(TRIM(SUBSTITUTE(J57,"’","'")),'Evaluation table'!$A$4:$A$8,0),MATCH(TRIM(SUBSTITUTE(K57,"’","'")),'Evaluation table'!$B$3:$F$3,0)),"?"))</f>
        <v/>
      </c>
      <c r="S57" s="11">
        <f>IF(OR(L57="",M57=""),"",IFERROR(INDEX('Evaluation table'!$B$4:$F$8,MATCH(TRIM(SUBSTITUTE(L57,"’","'")),'Evaluation table'!$A$4:$A$8,0),MATCH(TRIM(SUBSTITUTE(M57,"’","'")),'Evaluation table'!$B$3:$F$3,0)),"?"))</f>
        <v/>
      </c>
    </row>
    <row r="58">
      <c r="A58" s="2" t="n">
        <v>40</v>
      </c>
      <c r="B58" s="10" t="inlineStr">
        <is>
          <t>I expect it</t>
        </is>
      </c>
      <c r="C58" s="10" t="inlineStr">
        <is>
          <t>I dislike it</t>
        </is>
      </c>
      <c r="D58" s="10" t="inlineStr">
        <is>
          <t>I expect it</t>
        </is>
      </c>
      <c r="E58" s="10" t="inlineStr">
        <is>
          <t>I dislike it</t>
        </is>
      </c>
      <c r="F58" s="10" t="inlineStr">
        <is>
          <t>I like it</t>
        </is>
      </c>
      <c r="G58" s="10" t="inlineStr">
        <is>
          <t>I can tolerate it</t>
        </is>
      </c>
      <c r="H58" s="10" t="inlineStr">
        <is>
          <t>I'm neutral</t>
        </is>
      </c>
      <c r="I58" s="10" t="inlineStr">
        <is>
          <t>I'm neutral</t>
        </is>
      </c>
      <c r="J58" s="10" t="inlineStr">
        <is>
          <t>I'm neutral</t>
        </is>
      </c>
      <c r="K58" s="10" t="inlineStr">
        <is>
          <t>I can tolerate it</t>
        </is>
      </c>
      <c r="L58" s="10" t="inlineStr">
        <is>
          <t>I like it</t>
        </is>
      </c>
      <c r="M58" s="10" t="inlineStr">
        <is>
          <t>I dislike it</t>
        </is>
      </c>
      <c r="N58" s="11">
        <f>IF(OR(B58="",C58=""),"",IFERROR(INDEX('Evaluation table'!$B$4:$F$8,MATCH(TRIM(SUBSTITUTE(B58,"’","'")),'Evaluation table'!$A$4:$A$8,0),MATCH(TRIM(SUBSTITUTE(C58,"’","'")),'Evaluation table'!$B$3:$F$3,0)),"?"))</f>
        <v/>
      </c>
      <c r="O58" s="11">
        <f>IF(OR(D58="",E58=""),"",IFERROR(INDEX('Evaluation table'!$B$4:$F$8,MATCH(TRIM(SUBSTITUTE(D58,"’","'")),'Evaluation table'!$A$4:$A$8,0),MATCH(TRIM(SUBSTITUTE(E58,"’","'")),'Evaluation table'!$B$3:$F$3,0)),"?"))</f>
        <v/>
      </c>
      <c r="P58" s="11">
        <f>IF(OR(F58="",G58=""),"",IFERROR(INDEX('Evaluation table'!$B$4:$F$8,MATCH(TRIM(SUBSTITUTE(F58,"’","'")),'Evaluation table'!$A$4:$A$8,0),MATCH(TRIM(SUBSTITUTE(G58,"’","'")),'Evaluation table'!$B$3:$F$3,0)),"?"))</f>
        <v/>
      </c>
      <c r="Q58" s="11">
        <f>IF(OR(H58="",I58=""),"",IFERROR(INDEX('Evaluation table'!$B$4:$F$8,MATCH(TRIM(SUBSTITUTE(H58,"’","'")),'Evaluation table'!$A$4:$A$8,0),MATCH(TRIM(SUBSTITUTE(I58,"’","'")),'Evaluation table'!$B$3:$F$3,0)),"?"))</f>
        <v/>
      </c>
      <c r="R58" s="11">
        <f>IF(OR(J58="",K58=""),"",IFERROR(INDEX('Evaluation table'!$B$4:$F$8,MATCH(TRIM(SUBSTITUTE(J58,"’","'")),'Evaluation table'!$A$4:$A$8,0),MATCH(TRIM(SUBSTITUTE(K58,"’","'")),'Evaluation table'!$B$3:$F$3,0)),"?"))</f>
        <v/>
      </c>
      <c r="S58" s="11">
        <f>IF(OR(L58="",M58=""),"",IFERROR(INDEX('Evaluation table'!$B$4:$F$8,MATCH(TRIM(SUBSTITUTE(L58,"’","'")),'Evaluation table'!$A$4:$A$8,0),MATCH(TRIM(SUBSTITUTE(M58,"’","'")),'Evaluation table'!$B$3:$F$3,0)),"?"))</f>
        <v/>
      </c>
    </row>
    <row r="59">
      <c r="A59" s="2" t="n">
        <v>41</v>
      </c>
      <c r="B59" s="10" t="inlineStr">
        <is>
          <t>I'm neutral</t>
        </is>
      </c>
      <c r="C59" s="10" t="inlineStr">
        <is>
          <t>I'm neutral</t>
        </is>
      </c>
      <c r="D59" s="10" t="inlineStr">
        <is>
          <t>I like it</t>
        </is>
      </c>
      <c r="E59" s="10" t="inlineStr">
        <is>
          <t>I dislike it</t>
        </is>
      </c>
      <c r="F59" s="10" t="inlineStr">
        <is>
          <t>I like it</t>
        </is>
      </c>
      <c r="G59" s="10" t="inlineStr">
        <is>
          <t>I'm neutral</t>
        </is>
      </c>
      <c r="H59" s="10" t="inlineStr">
        <is>
          <t>I like it</t>
        </is>
      </c>
      <c r="I59" s="10" t="inlineStr">
        <is>
          <t>I dislike it</t>
        </is>
      </c>
      <c r="J59" s="10" t="inlineStr">
        <is>
          <t>I'm neutral</t>
        </is>
      </c>
      <c r="K59" s="10" t="inlineStr">
        <is>
          <t>I'm neutral</t>
        </is>
      </c>
      <c r="L59" s="10" t="inlineStr">
        <is>
          <t>I like it</t>
        </is>
      </c>
      <c r="M59" s="10" t="inlineStr">
        <is>
          <t>I'm neutral</t>
        </is>
      </c>
      <c r="N59" s="11">
        <f>IF(OR(B59="",C59=""),"",IFERROR(INDEX('Evaluation table'!$B$4:$F$8,MATCH(TRIM(SUBSTITUTE(B59,"’","'")),'Evaluation table'!$A$4:$A$8,0),MATCH(TRIM(SUBSTITUTE(C59,"’","'")),'Evaluation table'!$B$3:$F$3,0)),"?"))</f>
        <v/>
      </c>
      <c r="O59" s="11">
        <f>IF(OR(D59="",E59=""),"",IFERROR(INDEX('Evaluation table'!$B$4:$F$8,MATCH(TRIM(SUBSTITUTE(D59,"’","'")),'Evaluation table'!$A$4:$A$8,0),MATCH(TRIM(SUBSTITUTE(E59,"’","'")),'Evaluation table'!$B$3:$F$3,0)),"?"))</f>
        <v/>
      </c>
      <c r="P59" s="11">
        <f>IF(OR(F59="",G59=""),"",IFERROR(INDEX('Evaluation table'!$B$4:$F$8,MATCH(TRIM(SUBSTITUTE(F59,"’","'")),'Evaluation table'!$A$4:$A$8,0),MATCH(TRIM(SUBSTITUTE(G59,"’","'")),'Evaluation table'!$B$3:$F$3,0)),"?"))</f>
        <v/>
      </c>
      <c r="Q59" s="11">
        <f>IF(OR(H59="",I59=""),"",IFERROR(INDEX('Evaluation table'!$B$4:$F$8,MATCH(TRIM(SUBSTITUTE(H59,"’","'")),'Evaluation table'!$A$4:$A$8,0),MATCH(TRIM(SUBSTITUTE(I59,"’","'")),'Evaluation table'!$B$3:$F$3,0)),"?"))</f>
        <v/>
      </c>
      <c r="R59" s="11">
        <f>IF(OR(J59="",K59=""),"",IFERROR(INDEX('Evaluation table'!$B$4:$F$8,MATCH(TRIM(SUBSTITUTE(J59,"’","'")),'Evaluation table'!$A$4:$A$8,0),MATCH(TRIM(SUBSTITUTE(K59,"’","'")),'Evaluation table'!$B$3:$F$3,0)),"?"))</f>
        <v/>
      </c>
      <c r="S59" s="11">
        <f>IF(OR(L59="",M59=""),"",IFERROR(INDEX('Evaluation table'!$B$4:$F$8,MATCH(TRIM(SUBSTITUTE(L59,"’","'")),'Evaluation table'!$A$4:$A$8,0),MATCH(TRIM(SUBSTITUTE(M59,"’","'")),'Evaluation table'!$B$3:$F$3,0)),"?"))</f>
        <v/>
      </c>
    </row>
    <row r="60">
      <c r="A60" s="2" t="n">
        <v>42</v>
      </c>
      <c r="B60" s="10" t="inlineStr">
        <is>
          <t>I like it</t>
        </is>
      </c>
      <c r="C60" s="10" t="inlineStr">
        <is>
          <t>I dislike it</t>
        </is>
      </c>
      <c r="D60" s="10" t="inlineStr">
        <is>
          <t>I'm neutral</t>
        </is>
      </c>
      <c r="E60" s="10" t="inlineStr">
        <is>
          <t>I'm neutral</t>
        </is>
      </c>
      <c r="F60" s="10" t="inlineStr">
        <is>
          <t>I like it</t>
        </is>
      </c>
      <c r="G60" s="10" t="inlineStr">
        <is>
          <t>I'm neutral</t>
        </is>
      </c>
      <c r="H60" s="10" t="inlineStr">
        <is>
          <t>I can tolerate it</t>
        </is>
      </c>
      <c r="I60" s="10" t="inlineStr">
        <is>
          <t>I'm neutral</t>
        </is>
      </c>
      <c r="J60" s="10" t="inlineStr">
        <is>
          <t>I like it</t>
        </is>
      </c>
      <c r="K60" s="10" t="inlineStr">
        <is>
          <t>I dislike it</t>
        </is>
      </c>
      <c r="L60" s="10" t="inlineStr">
        <is>
          <t>I dislike it</t>
        </is>
      </c>
      <c r="M60" s="10" t="inlineStr">
        <is>
          <t>I'm neutral</t>
        </is>
      </c>
      <c r="N60" s="11">
        <f>IF(OR(B60="",C60=""),"",IFERROR(INDEX('Evaluation table'!$B$4:$F$8,MATCH(TRIM(SUBSTITUTE(B60,"’","'")),'Evaluation table'!$A$4:$A$8,0),MATCH(TRIM(SUBSTITUTE(C60,"’","'")),'Evaluation table'!$B$3:$F$3,0)),"?"))</f>
        <v/>
      </c>
      <c r="O60" s="11">
        <f>IF(OR(D60="",E60=""),"",IFERROR(INDEX('Evaluation table'!$B$4:$F$8,MATCH(TRIM(SUBSTITUTE(D60,"’","'")),'Evaluation table'!$A$4:$A$8,0),MATCH(TRIM(SUBSTITUTE(E60,"’","'")),'Evaluation table'!$B$3:$F$3,0)),"?"))</f>
        <v/>
      </c>
      <c r="P60" s="11">
        <f>IF(OR(F60="",G60=""),"",IFERROR(INDEX('Evaluation table'!$B$4:$F$8,MATCH(TRIM(SUBSTITUTE(F60,"’","'")),'Evaluation table'!$A$4:$A$8,0),MATCH(TRIM(SUBSTITUTE(G60,"’","'")),'Evaluation table'!$B$3:$F$3,0)),"?"))</f>
        <v/>
      </c>
      <c r="Q60" s="11">
        <f>IF(OR(H60="",I60=""),"",IFERROR(INDEX('Evaluation table'!$B$4:$F$8,MATCH(TRIM(SUBSTITUTE(H60,"’","'")),'Evaluation table'!$A$4:$A$8,0),MATCH(TRIM(SUBSTITUTE(I60,"’","'")),'Evaluation table'!$B$3:$F$3,0)),"?"))</f>
        <v/>
      </c>
      <c r="R60" s="11">
        <f>IF(OR(J60="",K60=""),"",IFERROR(INDEX('Evaluation table'!$B$4:$F$8,MATCH(TRIM(SUBSTITUTE(J60,"’","'")),'Evaluation table'!$A$4:$A$8,0),MATCH(TRIM(SUBSTITUTE(K60,"’","'")),'Evaluation table'!$B$3:$F$3,0)),"?"))</f>
        <v/>
      </c>
      <c r="S60" s="11">
        <f>IF(OR(L60="",M60=""),"",IFERROR(INDEX('Evaluation table'!$B$4:$F$8,MATCH(TRIM(SUBSTITUTE(L60,"’","'")),'Evaluation table'!$A$4:$A$8,0),MATCH(TRIM(SUBSTITUTE(M60,"’","'")),'Evaluation table'!$B$3:$F$3,0)),"?"))</f>
        <v/>
      </c>
    </row>
    <row r="61">
      <c r="A61" s="2" t="n">
        <v>43</v>
      </c>
      <c r="B61" s="10" t="inlineStr">
        <is>
          <t>I expect it</t>
        </is>
      </c>
      <c r="C61" s="10" t="inlineStr">
        <is>
          <t>I dislike it</t>
        </is>
      </c>
      <c r="D61" s="10" t="inlineStr">
        <is>
          <t>I expect it</t>
        </is>
      </c>
      <c r="E61" s="10" t="inlineStr">
        <is>
          <t>I dislike it</t>
        </is>
      </c>
      <c r="F61" s="10" t="inlineStr">
        <is>
          <t>I like it</t>
        </is>
      </c>
      <c r="G61" s="10" t="inlineStr">
        <is>
          <t>I dislike it</t>
        </is>
      </c>
      <c r="H61" s="10" t="inlineStr">
        <is>
          <t>I like it</t>
        </is>
      </c>
      <c r="I61" s="10" t="inlineStr">
        <is>
          <t>I expect it</t>
        </is>
      </c>
      <c r="J61" s="10" t="inlineStr">
        <is>
          <t>I like it</t>
        </is>
      </c>
      <c r="K61" s="10" t="inlineStr">
        <is>
          <t>I can tolerate it</t>
        </is>
      </c>
      <c r="L61" s="10" t="inlineStr">
        <is>
          <t>I'm neutral</t>
        </is>
      </c>
      <c r="M61" s="10" t="inlineStr">
        <is>
          <t>I dislike it</t>
        </is>
      </c>
      <c r="N61" s="11">
        <f>IF(OR(B61="",C61=""),"",IFERROR(INDEX('Evaluation table'!$B$4:$F$8,MATCH(TRIM(SUBSTITUTE(B61,"’","'")),'Evaluation table'!$A$4:$A$8,0),MATCH(TRIM(SUBSTITUTE(C61,"’","'")),'Evaluation table'!$B$3:$F$3,0)),"?"))</f>
        <v/>
      </c>
      <c r="O61" s="11">
        <f>IF(OR(D61="",E61=""),"",IFERROR(INDEX('Evaluation table'!$B$4:$F$8,MATCH(TRIM(SUBSTITUTE(D61,"’","'")),'Evaluation table'!$A$4:$A$8,0),MATCH(TRIM(SUBSTITUTE(E61,"’","'")),'Evaluation table'!$B$3:$F$3,0)),"?"))</f>
        <v/>
      </c>
      <c r="P61" s="11">
        <f>IF(OR(F61="",G61=""),"",IFERROR(INDEX('Evaluation table'!$B$4:$F$8,MATCH(TRIM(SUBSTITUTE(F61,"’","'")),'Evaluation table'!$A$4:$A$8,0),MATCH(TRIM(SUBSTITUTE(G61,"’","'")),'Evaluation table'!$B$3:$F$3,0)),"?"))</f>
        <v/>
      </c>
      <c r="Q61" s="11">
        <f>IF(OR(H61="",I61=""),"",IFERROR(INDEX('Evaluation table'!$B$4:$F$8,MATCH(TRIM(SUBSTITUTE(H61,"’","'")),'Evaluation table'!$A$4:$A$8,0),MATCH(TRIM(SUBSTITUTE(I61,"’","'")),'Evaluation table'!$B$3:$F$3,0)),"?"))</f>
        <v/>
      </c>
      <c r="R61" s="11">
        <f>IF(OR(J61="",K61=""),"",IFERROR(INDEX('Evaluation table'!$B$4:$F$8,MATCH(TRIM(SUBSTITUTE(J61,"’","'")),'Evaluation table'!$A$4:$A$8,0),MATCH(TRIM(SUBSTITUTE(K61,"’","'")),'Evaluation table'!$B$3:$F$3,0)),"?"))</f>
        <v/>
      </c>
      <c r="S61" s="11">
        <f>IF(OR(L61="",M61=""),"",IFERROR(INDEX('Evaluation table'!$B$4:$F$8,MATCH(TRIM(SUBSTITUTE(L61,"’","'")),'Evaluation table'!$A$4:$A$8,0),MATCH(TRIM(SUBSTITUTE(M61,"’","'")),'Evaluation table'!$B$3:$F$3,0)),"?"))</f>
        <v/>
      </c>
    </row>
    <row r="62">
      <c r="A62" s="2" t="n">
        <v>44</v>
      </c>
      <c r="B62" s="10" t="inlineStr">
        <is>
          <t>I expect it</t>
        </is>
      </c>
      <c r="C62" s="10" t="inlineStr">
        <is>
          <t>I dislike it</t>
        </is>
      </c>
      <c r="D62" s="10" t="inlineStr">
        <is>
          <t>I'm neutral</t>
        </is>
      </c>
      <c r="E62" s="10" t="inlineStr">
        <is>
          <t>I'm neutral</t>
        </is>
      </c>
      <c r="F62" s="10" t="inlineStr">
        <is>
          <t>I expect it</t>
        </is>
      </c>
      <c r="G62" s="10" t="inlineStr">
        <is>
          <t>I dislike it</t>
        </is>
      </c>
      <c r="H62" s="10" t="inlineStr">
        <is>
          <t>I'm neutral</t>
        </is>
      </c>
      <c r="I62" s="10" t="inlineStr">
        <is>
          <t>I can tolerate it</t>
        </is>
      </c>
      <c r="J62" s="10" t="inlineStr">
        <is>
          <t>I like it</t>
        </is>
      </c>
      <c r="K62" s="10" t="inlineStr">
        <is>
          <t>I dislike it</t>
        </is>
      </c>
      <c r="L62" s="10" t="inlineStr">
        <is>
          <t>I expect it</t>
        </is>
      </c>
      <c r="M62" s="10" t="inlineStr">
        <is>
          <t>I'm neutral</t>
        </is>
      </c>
      <c r="N62" s="11">
        <f>IF(OR(B62="",C62=""),"",IFERROR(INDEX('Evaluation table'!$B$4:$F$8,MATCH(TRIM(SUBSTITUTE(B62,"’","'")),'Evaluation table'!$A$4:$A$8,0),MATCH(TRIM(SUBSTITUTE(C62,"’","'")),'Evaluation table'!$B$3:$F$3,0)),"?"))</f>
        <v/>
      </c>
      <c r="O62" s="11">
        <f>IF(OR(D62="",E62=""),"",IFERROR(INDEX('Evaluation table'!$B$4:$F$8,MATCH(TRIM(SUBSTITUTE(D62,"’","'")),'Evaluation table'!$A$4:$A$8,0),MATCH(TRIM(SUBSTITUTE(E62,"’","'")),'Evaluation table'!$B$3:$F$3,0)),"?"))</f>
        <v/>
      </c>
      <c r="P62" s="11">
        <f>IF(OR(F62="",G62=""),"",IFERROR(INDEX('Evaluation table'!$B$4:$F$8,MATCH(TRIM(SUBSTITUTE(F62,"’","'")),'Evaluation table'!$A$4:$A$8,0),MATCH(TRIM(SUBSTITUTE(G62,"’","'")),'Evaluation table'!$B$3:$F$3,0)),"?"))</f>
        <v/>
      </c>
      <c r="Q62" s="11">
        <f>IF(OR(H62="",I62=""),"",IFERROR(INDEX('Evaluation table'!$B$4:$F$8,MATCH(TRIM(SUBSTITUTE(H62,"’","'")),'Evaluation table'!$A$4:$A$8,0),MATCH(TRIM(SUBSTITUTE(I62,"’","'")),'Evaluation table'!$B$3:$F$3,0)),"?"))</f>
        <v/>
      </c>
      <c r="R62" s="11">
        <f>IF(OR(J62="",K62=""),"",IFERROR(INDEX('Evaluation table'!$B$4:$F$8,MATCH(TRIM(SUBSTITUTE(J62,"’","'")),'Evaluation table'!$A$4:$A$8,0),MATCH(TRIM(SUBSTITUTE(K62,"’","'")),'Evaluation table'!$B$3:$F$3,0)),"?"))</f>
        <v/>
      </c>
      <c r="S62" s="11">
        <f>IF(OR(L62="",M62=""),"",IFERROR(INDEX('Evaluation table'!$B$4:$F$8,MATCH(TRIM(SUBSTITUTE(L62,"’","'")),'Evaluation table'!$A$4:$A$8,0),MATCH(TRIM(SUBSTITUTE(M62,"’","'")),'Evaluation table'!$B$3:$F$3,0)),"?"))</f>
        <v/>
      </c>
    </row>
    <row r="63">
      <c r="A63" s="2" t="n">
        <v>45</v>
      </c>
      <c r="B63" s="10" t="inlineStr">
        <is>
          <t>I expect it</t>
        </is>
      </c>
      <c r="C63" s="10" t="inlineStr">
        <is>
          <t>I dislike it</t>
        </is>
      </c>
      <c r="D63" s="10" t="inlineStr">
        <is>
          <t>I'm neutral</t>
        </is>
      </c>
      <c r="E63" s="10" t="inlineStr">
        <is>
          <t>I dislike it</t>
        </is>
      </c>
      <c r="F63" s="10" t="inlineStr">
        <is>
          <t>I can tolerate it</t>
        </is>
      </c>
      <c r="G63" s="10" t="inlineStr">
        <is>
          <t>I dislike it</t>
        </is>
      </c>
      <c r="H63" s="10" t="inlineStr">
        <is>
          <t>I like it</t>
        </is>
      </c>
      <c r="I63" s="10" t="inlineStr">
        <is>
          <t>I dislike it</t>
        </is>
      </c>
      <c r="J63" s="10" t="inlineStr">
        <is>
          <t>I'm neutral</t>
        </is>
      </c>
      <c r="K63" s="10" t="inlineStr">
        <is>
          <t>I'm neutral</t>
        </is>
      </c>
      <c r="L63" s="10" t="inlineStr">
        <is>
          <t>I'm neutral</t>
        </is>
      </c>
      <c r="M63" s="10" t="inlineStr">
        <is>
          <t>I'm neutral</t>
        </is>
      </c>
      <c r="N63" s="11">
        <f>IF(OR(B63="",C63=""),"",IFERROR(INDEX('Evaluation table'!$B$4:$F$8,MATCH(TRIM(SUBSTITUTE(B63,"’","'")),'Evaluation table'!$A$4:$A$8,0),MATCH(TRIM(SUBSTITUTE(C63,"’","'")),'Evaluation table'!$B$3:$F$3,0)),"?"))</f>
        <v/>
      </c>
      <c r="O63" s="11">
        <f>IF(OR(D63="",E63=""),"",IFERROR(INDEX('Evaluation table'!$B$4:$F$8,MATCH(TRIM(SUBSTITUTE(D63,"’","'")),'Evaluation table'!$A$4:$A$8,0),MATCH(TRIM(SUBSTITUTE(E63,"’","'")),'Evaluation table'!$B$3:$F$3,0)),"?"))</f>
        <v/>
      </c>
      <c r="P63" s="11">
        <f>IF(OR(F63="",G63=""),"",IFERROR(INDEX('Evaluation table'!$B$4:$F$8,MATCH(TRIM(SUBSTITUTE(F63,"’","'")),'Evaluation table'!$A$4:$A$8,0),MATCH(TRIM(SUBSTITUTE(G63,"’","'")),'Evaluation table'!$B$3:$F$3,0)),"?"))</f>
        <v/>
      </c>
      <c r="Q63" s="11">
        <f>IF(OR(H63="",I63=""),"",IFERROR(INDEX('Evaluation table'!$B$4:$F$8,MATCH(TRIM(SUBSTITUTE(H63,"’","'")),'Evaluation table'!$A$4:$A$8,0),MATCH(TRIM(SUBSTITUTE(I63,"’","'")),'Evaluation table'!$B$3:$F$3,0)),"?"))</f>
        <v/>
      </c>
      <c r="R63" s="11">
        <f>IF(OR(J63="",K63=""),"",IFERROR(INDEX('Evaluation table'!$B$4:$F$8,MATCH(TRIM(SUBSTITUTE(J63,"’","'")),'Evaluation table'!$A$4:$A$8,0),MATCH(TRIM(SUBSTITUTE(K63,"’","'")),'Evaluation table'!$B$3:$F$3,0)),"?"))</f>
        <v/>
      </c>
      <c r="S63" s="11">
        <f>IF(OR(L63="",M63=""),"",IFERROR(INDEX('Evaluation table'!$B$4:$F$8,MATCH(TRIM(SUBSTITUTE(L63,"’","'")),'Evaluation table'!$A$4:$A$8,0),MATCH(TRIM(SUBSTITUTE(M63,"’","'")),'Evaluation table'!$B$3:$F$3,0)),"?"))</f>
        <v/>
      </c>
    </row>
    <row r="64">
      <c r="A64" s="2" t="n">
        <v>46</v>
      </c>
      <c r="B64" s="10" t="inlineStr">
        <is>
          <t>I expect it</t>
        </is>
      </c>
      <c r="C64" s="10" t="inlineStr">
        <is>
          <t>I expect it</t>
        </is>
      </c>
      <c r="D64" s="10" t="inlineStr">
        <is>
          <t>I expect it</t>
        </is>
      </c>
      <c r="E64" s="10" t="inlineStr">
        <is>
          <t>I dislike it</t>
        </is>
      </c>
      <c r="F64" s="10" t="inlineStr">
        <is>
          <t>I'm neutral</t>
        </is>
      </c>
      <c r="G64" s="10" t="inlineStr">
        <is>
          <t>I dislike it</t>
        </is>
      </c>
      <c r="H64" s="10" t="inlineStr">
        <is>
          <t>I like it</t>
        </is>
      </c>
      <c r="I64" s="10" t="inlineStr">
        <is>
          <t>I can tolerate it</t>
        </is>
      </c>
      <c r="J64" s="10" t="inlineStr">
        <is>
          <t>I can tolerate it</t>
        </is>
      </c>
      <c r="K64" s="10" t="inlineStr">
        <is>
          <t>I'm neutral</t>
        </is>
      </c>
      <c r="L64" s="10" t="inlineStr">
        <is>
          <t>I'm neutral</t>
        </is>
      </c>
      <c r="M64" s="10" t="inlineStr">
        <is>
          <t>I'm neutral</t>
        </is>
      </c>
      <c r="N64" s="11">
        <f>IF(OR(B64="",C64=""),"",IFERROR(INDEX('Evaluation table'!$B$4:$F$8,MATCH(TRIM(SUBSTITUTE(B64,"’","'")),'Evaluation table'!$A$4:$A$8,0),MATCH(TRIM(SUBSTITUTE(C64,"’","'")),'Evaluation table'!$B$3:$F$3,0)),"?"))</f>
        <v/>
      </c>
      <c r="O64" s="11">
        <f>IF(OR(D64="",E64=""),"",IFERROR(INDEX('Evaluation table'!$B$4:$F$8,MATCH(TRIM(SUBSTITUTE(D64,"’","'")),'Evaluation table'!$A$4:$A$8,0),MATCH(TRIM(SUBSTITUTE(E64,"’","'")),'Evaluation table'!$B$3:$F$3,0)),"?"))</f>
        <v/>
      </c>
      <c r="P64" s="11">
        <f>IF(OR(F64="",G64=""),"",IFERROR(INDEX('Evaluation table'!$B$4:$F$8,MATCH(TRIM(SUBSTITUTE(F64,"’","'")),'Evaluation table'!$A$4:$A$8,0),MATCH(TRIM(SUBSTITUTE(G64,"’","'")),'Evaluation table'!$B$3:$F$3,0)),"?"))</f>
        <v/>
      </c>
      <c r="Q64" s="11">
        <f>IF(OR(H64="",I64=""),"",IFERROR(INDEX('Evaluation table'!$B$4:$F$8,MATCH(TRIM(SUBSTITUTE(H64,"’","'")),'Evaluation table'!$A$4:$A$8,0),MATCH(TRIM(SUBSTITUTE(I64,"’","'")),'Evaluation table'!$B$3:$F$3,0)),"?"))</f>
        <v/>
      </c>
      <c r="R64" s="11">
        <f>IF(OR(J64="",K64=""),"",IFERROR(INDEX('Evaluation table'!$B$4:$F$8,MATCH(TRIM(SUBSTITUTE(J64,"’","'")),'Evaluation table'!$A$4:$A$8,0),MATCH(TRIM(SUBSTITUTE(K64,"’","'")),'Evaluation table'!$B$3:$F$3,0)),"?"))</f>
        <v/>
      </c>
      <c r="S64" s="11">
        <f>IF(OR(L64="",M64=""),"",IFERROR(INDEX('Evaluation table'!$B$4:$F$8,MATCH(TRIM(SUBSTITUTE(L64,"’","'")),'Evaluation table'!$A$4:$A$8,0),MATCH(TRIM(SUBSTITUTE(M64,"’","'")),'Evaluation table'!$B$3:$F$3,0)),"?"))</f>
        <v/>
      </c>
    </row>
    <row r="65">
      <c r="A65" s="2" t="n">
        <v>47</v>
      </c>
      <c r="B65" s="10" t="inlineStr">
        <is>
          <t>I like it</t>
        </is>
      </c>
      <c r="C65" s="10" t="inlineStr">
        <is>
          <t>I dislike it</t>
        </is>
      </c>
      <c r="D65" s="10" t="inlineStr">
        <is>
          <t>I expect it</t>
        </is>
      </c>
      <c r="E65" s="10" t="inlineStr">
        <is>
          <t>I dislike it</t>
        </is>
      </c>
      <c r="F65" s="10" t="inlineStr">
        <is>
          <t>I'm neutral</t>
        </is>
      </c>
      <c r="G65" s="10" t="inlineStr">
        <is>
          <t>I'm neutral</t>
        </is>
      </c>
      <c r="H65" s="10" t="inlineStr">
        <is>
          <t>I'm neutral</t>
        </is>
      </c>
      <c r="I65" s="10" t="inlineStr">
        <is>
          <t>I can tolerate it</t>
        </is>
      </c>
      <c r="J65" s="10" t="inlineStr">
        <is>
          <t>I'm neutral</t>
        </is>
      </c>
      <c r="K65" s="10" t="inlineStr">
        <is>
          <t>I'm neutral</t>
        </is>
      </c>
      <c r="L65" s="10" t="inlineStr">
        <is>
          <t>I'm neutral</t>
        </is>
      </c>
      <c r="M65" s="10" t="inlineStr">
        <is>
          <t>I can tolerate it</t>
        </is>
      </c>
      <c r="N65" s="11">
        <f>IF(OR(B65="",C65=""),"",IFERROR(INDEX('Evaluation table'!$B$4:$F$8,MATCH(TRIM(SUBSTITUTE(B65,"’","'")),'Evaluation table'!$A$4:$A$8,0),MATCH(TRIM(SUBSTITUTE(C65,"’","'")),'Evaluation table'!$B$3:$F$3,0)),"?"))</f>
        <v/>
      </c>
      <c r="O65" s="11">
        <f>IF(OR(D65="",E65=""),"",IFERROR(INDEX('Evaluation table'!$B$4:$F$8,MATCH(TRIM(SUBSTITUTE(D65,"’","'")),'Evaluation table'!$A$4:$A$8,0),MATCH(TRIM(SUBSTITUTE(E65,"’","'")),'Evaluation table'!$B$3:$F$3,0)),"?"))</f>
        <v/>
      </c>
      <c r="P65" s="11">
        <f>IF(OR(F65="",G65=""),"",IFERROR(INDEX('Evaluation table'!$B$4:$F$8,MATCH(TRIM(SUBSTITUTE(F65,"’","'")),'Evaluation table'!$A$4:$A$8,0),MATCH(TRIM(SUBSTITUTE(G65,"’","'")),'Evaluation table'!$B$3:$F$3,0)),"?"))</f>
        <v/>
      </c>
      <c r="Q65" s="11">
        <f>IF(OR(H65="",I65=""),"",IFERROR(INDEX('Evaluation table'!$B$4:$F$8,MATCH(TRIM(SUBSTITUTE(H65,"’","'")),'Evaluation table'!$A$4:$A$8,0),MATCH(TRIM(SUBSTITUTE(I65,"’","'")),'Evaluation table'!$B$3:$F$3,0)),"?"))</f>
        <v/>
      </c>
      <c r="R65" s="11">
        <f>IF(OR(J65="",K65=""),"",IFERROR(INDEX('Evaluation table'!$B$4:$F$8,MATCH(TRIM(SUBSTITUTE(J65,"’","'")),'Evaluation table'!$A$4:$A$8,0),MATCH(TRIM(SUBSTITUTE(K65,"’","'")),'Evaluation table'!$B$3:$F$3,0)),"?"))</f>
        <v/>
      </c>
      <c r="S65" s="11">
        <f>IF(OR(L65="",M65=""),"",IFERROR(INDEX('Evaluation table'!$B$4:$F$8,MATCH(TRIM(SUBSTITUTE(L65,"’","'")),'Evaluation table'!$A$4:$A$8,0),MATCH(TRIM(SUBSTITUTE(M65,"’","'")),'Evaluation table'!$B$3:$F$3,0)),"?"))</f>
        <v/>
      </c>
    </row>
    <row r="66">
      <c r="A66" s="2" t="n">
        <v>48</v>
      </c>
      <c r="B66" s="10" t="inlineStr">
        <is>
          <t>I expect it</t>
        </is>
      </c>
      <c r="C66" s="10" t="inlineStr">
        <is>
          <t>I dislike it</t>
        </is>
      </c>
      <c r="D66" s="10" t="inlineStr">
        <is>
          <t>I'm neutral</t>
        </is>
      </c>
      <c r="E66" s="10" t="inlineStr">
        <is>
          <t>I'm neutral</t>
        </is>
      </c>
      <c r="F66" s="10" t="inlineStr">
        <is>
          <t>I expect it</t>
        </is>
      </c>
      <c r="G66" s="10" t="inlineStr">
        <is>
          <t>I dislike it</t>
        </is>
      </c>
      <c r="H66" s="10" t="inlineStr">
        <is>
          <t>I'm neutral</t>
        </is>
      </c>
      <c r="I66" s="10" t="inlineStr">
        <is>
          <t>I'm neutral</t>
        </is>
      </c>
      <c r="J66" s="10" t="inlineStr">
        <is>
          <t>I like it</t>
        </is>
      </c>
      <c r="K66" s="10" t="inlineStr">
        <is>
          <t>I'm neutral</t>
        </is>
      </c>
      <c r="L66" s="10" t="inlineStr">
        <is>
          <t>I dislike it</t>
        </is>
      </c>
      <c r="M66" s="10" t="inlineStr">
        <is>
          <t>I can tolerate it</t>
        </is>
      </c>
      <c r="N66" s="11">
        <f>IF(OR(B66="",C66=""),"",IFERROR(INDEX('Evaluation table'!$B$4:$F$8,MATCH(TRIM(SUBSTITUTE(B66,"’","'")),'Evaluation table'!$A$4:$A$8,0),MATCH(TRIM(SUBSTITUTE(C66,"’","'")),'Evaluation table'!$B$3:$F$3,0)),"?"))</f>
        <v/>
      </c>
      <c r="O66" s="11">
        <f>IF(OR(D66="",E66=""),"",IFERROR(INDEX('Evaluation table'!$B$4:$F$8,MATCH(TRIM(SUBSTITUTE(D66,"’","'")),'Evaluation table'!$A$4:$A$8,0),MATCH(TRIM(SUBSTITUTE(E66,"’","'")),'Evaluation table'!$B$3:$F$3,0)),"?"))</f>
        <v/>
      </c>
      <c r="P66" s="11">
        <f>IF(OR(F66="",G66=""),"",IFERROR(INDEX('Evaluation table'!$B$4:$F$8,MATCH(TRIM(SUBSTITUTE(F66,"’","'")),'Evaluation table'!$A$4:$A$8,0),MATCH(TRIM(SUBSTITUTE(G66,"’","'")),'Evaluation table'!$B$3:$F$3,0)),"?"))</f>
        <v/>
      </c>
      <c r="Q66" s="11">
        <f>IF(OR(H66="",I66=""),"",IFERROR(INDEX('Evaluation table'!$B$4:$F$8,MATCH(TRIM(SUBSTITUTE(H66,"’","'")),'Evaluation table'!$A$4:$A$8,0),MATCH(TRIM(SUBSTITUTE(I66,"’","'")),'Evaluation table'!$B$3:$F$3,0)),"?"))</f>
        <v/>
      </c>
      <c r="R66" s="11">
        <f>IF(OR(J66="",K66=""),"",IFERROR(INDEX('Evaluation table'!$B$4:$F$8,MATCH(TRIM(SUBSTITUTE(J66,"’","'")),'Evaluation table'!$A$4:$A$8,0),MATCH(TRIM(SUBSTITUTE(K66,"’","'")),'Evaluation table'!$B$3:$F$3,0)),"?"))</f>
        <v/>
      </c>
      <c r="S66" s="11">
        <f>IF(OR(L66="",M66=""),"",IFERROR(INDEX('Evaluation table'!$B$4:$F$8,MATCH(TRIM(SUBSTITUTE(L66,"’","'")),'Evaluation table'!$A$4:$A$8,0),MATCH(TRIM(SUBSTITUTE(M66,"’","'")),'Evaluation table'!$B$3:$F$3,0)),"?"))</f>
        <v/>
      </c>
    </row>
    <row r="67">
      <c r="A67" s="2" t="n">
        <v>49</v>
      </c>
      <c r="B67" s="10" t="inlineStr">
        <is>
          <t>I like it</t>
        </is>
      </c>
      <c r="C67" s="10" t="inlineStr">
        <is>
          <t>I can tolerate it</t>
        </is>
      </c>
      <c r="D67" s="10" t="inlineStr">
        <is>
          <t>I can tolerate it</t>
        </is>
      </c>
      <c r="E67" s="10" t="inlineStr">
        <is>
          <t>I'm neutral</t>
        </is>
      </c>
      <c r="F67" s="10" t="inlineStr">
        <is>
          <t>I like it</t>
        </is>
      </c>
      <c r="G67" s="10" t="inlineStr">
        <is>
          <t>I dislike it</t>
        </is>
      </c>
      <c r="H67" s="10" t="inlineStr">
        <is>
          <t>I like it</t>
        </is>
      </c>
      <c r="I67" s="10" t="inlineStr">
        <is>
          <t>I'm neutral</t>
        </is>
      </c>
      <c r="J67" s="10" t="inlineStr">
        <is>
          <t>I like it</t>
        </is>
      </c>
      <c r="K67" s="10" t="inlineStr">
        <is>
          <t>I dislike it</t>
        </is>
      </c>
      <c r="L67" s="10" t="inlineStr">
        <is>
          <t>I dislike it</t>
        </is>
      </c>
      <c r="M67" s="10" t="inlineStr">
        <is>
          <t>I'm neutral</t>
        </is>
      </c>
      <c r="N67" s="11">
        <f>IF(OR(B67="",C67=""),"",IFERROR(INDEX('Evaluation table'!$B$4:$F$8,MATCH(TRIM(SUBSTITUTE(B67,"’","'")),'Evaluation table'!$A$4:$A$8,0),MATCH(TRIM(SUBSTITUTE(C67,"’","'")),'Evaluation table'!$B$3:$F$3,0)),"?"))</f>
        <v/>
      </c>
      <c r="O67" s="11">
        <f>IF(OR(D67="",E67=""),"",IFERROR(INDEX('Evaluation table'!$B$4:$F$8,MATCH(TRIM(SUBSTITUTE(D67,"’","'")),'Evaluation table'!$A$4:$A$8,0),MATCH(TRIM(SUBSTITUTE(E67,"’","'")),'Evaluation table'!$B$3:$F$3,0)),"?"))</f>
        <v/>
      </c>
      <c r="P67" s="11">
        <f>IF(OR(F67="",G67=""),"",IFERROR(INDEX('Evaluation table'!$B$4:$F$8,MATCH(TRIM(SUBSTITUTE(F67,"’","'")),'Evaluation table'!$A$4:$A$8,0),MATCH(TRIM(SUBSTITUTE(G67,"’","'")),'Evaluation table'!$B$3:$F$3,0)),"?"))</f>
        <v/>
      </c>
      <c r="Q67" s="11">
        <f>IF(OR(H67="",I67=""),"",IFERROR(INDEX('Evaluation table'!$B$4:$F$8,MATCH(TRIM(SUBSTITUTE(H67,"’","'")),'Evaluation table'!$A$4:$A$8,0),MATCH(TRIM(SUBSTITUTE(I67,"’","'")),'Evaluation table'!$B$3:$F$3,0)),"?"))</f>
        <v/>
      </c>
      <c r="R67" s="11">
        <f>IF(OR(J67="",K67=""),"",IFERROR(INDEX('Evaluation table'!$B$4:$F$8,MATCH(TRIM(SUBSTITUTE(J67,"’","'")),'Evaluation table'!$A$4:$A$8,0),MATCH(TRIM(SUBSTITUTE(K67,"’","'")),'Evaluation table'!$B$3:$F$3,0)),"?"))</f>
        <v/>
      </c>
      <c r="S67" s="11">
        <f>IF(OR(L67="",M67=""),"",IFERROR(INDEX('Evaluation table'!$B$4:$F$8,MATCH(TRIM(SUBSTITUTE(L67,"’","'")),'Evaluation table'!$A$4:$A$8,0),MATCH(TRIM(SUBSTITUTE(M67,"’","'")),'Evaluation table'!$B$3:$F$3,0)),"?"))</f>
        <v/>
      </c>
    </row>
    <row r="68">
      <c r="A68" s="2" t="n">
        <v>50</v>
      </c>
      <c r="B68" s="10" t="inlineStr">
        <is>
          <t>I expect it</t>
        </is>
      </c>
      <c r="C68" s="10" t="inlineStr">
        <is>
          <t>I dislike it</t>
        </is>
      </c>
      <c r="D68" s="10" t="inlineStr">
        <is>
          <t>I like it</t>
        </is>
      </c>
      <c r="E68" s="10" t="inlineStr">
        <is>
          <t>I expect it</t>
        </is>
      </c>
      <c r="F68" s="10" t="inlineStr">
        <is>
          <t>I dislike it</t>
        </is>
      </c>
      <c r="G68" s="10" t="inlineStr">
        <is>
          <t>I'm neutral</t>
        </is>
      </c>
      <c r="H68" s="10" t="inlineStr">
        <is>
          <t>I'm neutral</t>
        </is>
      </c>
      <c r="I68" s="10" t="inlineStr">
        <is>
          <t>I'm neutral</t>
        </is>
      </c>
      <c r="J68" s="10" t="inlineStr">
        <is>
          <t>I like it</t>
        </is>
      </c>
      <c r="K68" s="10" t="inlineStr">
        <is>
          <t>I dislike it</t>
        </is>
      </c>
      <c r="L68" s="10" t="inlineStr">
        <is>
          <t>I like it</t>
        </is>
      </c>
      <c r="M68" s="10" t="inlineStr">
        <is>
          <t>I dislike it</t>
        </is>
      </c>
      <c r="N68" s="11">
        <f>IF(OR(B68="",C68=""),"",IFERROR(INDEX('Evaluation table'!$B$4:$F$8,MATCH(TRIM(SUBSTITUTE(B68,"’","'")),'Evaluation table'!$A$4:$A$8,0),MATCH(TRIM(SUBSTITUTE(C68,"’","'")),'Evaluation table'!$B$3:$F$3,0)),"?"))</f>
        <v/>
      </c>
      <c r="O68" s="11">
        <f>IF(OR(D68="",E68=""),"",IFERROR(INDEX('Evaluation table'!$B$4:$F$8,MATCH(TRIM(SUBSTITUTE(D68,"’","'")),'Evaluation table'!$A$4:$A$8,0),MATCH(TRIM(SUBSTITUTE(E68,"’","'")),'Evaluation table'!$B$3:$F$3,0)),"?"))</f>
        <v/>
      </c>
      <c r="P68" s="11">
        <f>IF(OR(F68="",G68=""),"",IFERROR(INDEX('Evaluation table'!$B$4:$F$8,MATCH(TRIM(SUBSTITUTE(F68,"’","'")),'Evaluation table'!$A$4:$A$8,0),MATCH(TRIM(SUBSTITUTE(G68,"’","'")),'Evaluation table'!$B$3:$F$3,0)),"?"))</f>
        <v/>
      </c>
      <c r="Q68" s="11">
        <f>IF(OR(H68="",I68=""),"",IFERROR(INDEX('Evaluation table'!$B$4:$F$8,MATCH(TRIM(SUBSTITUTE(H68,"’","'")),'Evaluation table'!$A$4:$A$8,0),MATCH(TRIM(SUBSTITUTE(I68,"’","'")),'Evaluation table'!$B$3:$F$3,0)),"?"))</f>
        <v/>
      </c>
      <c r="R68" s="11">
        <f>IF(OR(J68="",K68=""),"",IFERROR(INDEX('Evaluation table'!$B$4:$F$8,MATCH(TRIM(SUBSTITUTE(J68,"’","'")),'Evaluation table'!$A$4:$A$8,0),MATCH(TRIM(SUBSTITUTE(K68,"’","'")),'Evaluation table'!$B$3:$F$3,0)),"?"))</f>
        <v/>
      </c>
      <c r="S68" s="11">
        <f>IF(OR(L68="",M68=""),"",IFERROR(INDEX('Evaluation table'!$B$4:$F$8,MATCH(TRIM(SUBSTITUTE(L68,"’","'")),'Evaluation table'!$A$4:$A$8,0),MATCH(TRIM(SUBSTITUTE(M68,"’","'")),'Evaluation table'!$B$3:$F$3,0)),"?"))</f>
        <v/>
      </c>
    </row>
    <row r="69">
      <c r="A69" s="2" t="n">
        <v>51</v>
      </c>
      <c r="B69" s="10" t="inlineStr">
        <is>
          <t>I like it</t>
        </is>
      </c>
      <c r="C69" s="10" t="inlineStr">
        <is>
          <t>I dislike it</t>
        </is>
      </c>
      <c r="D69" s="10" t="inlineStr">
        <is>
          <t>I like it</t>
        </is>
      </c>
      <c r="E69" s="10" t="inlineStr">
        <is>
          <t>I'm neutral</t>
        </is>
      </c>
      <c r="F69" s="10" t="inlineStr">
        <is>
          <t>I like it</t>
        </is>
      </c>
      <c r="G69" s="10" t="inlineStr">
        <is>
          <t>I expect it</t>
        </is>
      </c>
      <c r="H69" s="10" t="inlineStr">
        <is>
          <t>I like it</t>
        </is>
      </c>
      <c r="I69" s="10" t="inlineStr">
        <is>
          <t>I dislike it</t>
        </is>
      </c>
      <c r="J69" s="10" t="inlineStr">
        <is>
          <t>I can tolerate it</t>
        </is>
      </c>
      <c r="K69" s="10" t="inlineStr">
        <is>
          <t>I'm neutral</t>
        </is>
      </c>
      <c r="L69" s="10" t="inlineStr">
        <is>
          <t>I dislike it</t>
        </is>
      </c>
      <c r="M69" s="10" t="inlineStr">
        <is>
          <t>I'm neutral</t>
        </is>
      </c>
      <c r="N69" s="11">
        <f>IF(OR(B69="",C69=""),"",IFERROR(INDEX('Evaluation table'!$B$4:$F$8,MATCH(TRIM(SUBSTITUTE(B69,"’","'")),'Evaluation table'!$A$4:$A$8,0),MATCH(TRIM(SUBSTITUTE(C69,"’","'")),'Evaluation table'!$B$3:$F$3,0)),"?"))</f>
        <v/>
      </c>
      <c r="O69" s="11">
        <f>IF(OR(D69="",E69=""),"",IFERROR(INDEX('Evaluation table'!$B$4:$F$8,MATCH(TRIM(SUBSTITUTE(D69,"’","'")),'Evaluation table'!$A$4:$A$8,0),MATCH(TRIM(SUBSTITUTE(E69,"’","'")),'Evaluation table'!$B$3:$F$3,0)),"?"))</f>
        <v/>
      </c>
      <c r="P69" s="11">
        <f>IF(OR(F69="",G69=""),"",IFERROR(INDEX('Evaluation table'!$B$4:$F$8,MATCH(TRIM(SUBSTITUTE(F69,"’","'")),'Evaluation table'!$A$4:$A$8,0),MATCH(TRIM(SUBSTITUTE(G69,"’","'")),'Evaluation table'!$B$3:$F$3,0)),"?"))</f>
        <v/>
      </c>
      <c r="Q69" s="11">
        <f>IF(OR(H69="",I69=""),"",IFERROR(INDEX('Evaluation table'!$B$4:$F$8,MATCH(TRIM(SUBSTITUTE(H69,"’","'")),'Evaluation table'!$A$4:$A$8,0),MATCH(TRIM(SUBSTITUTE(I69,"’","'")),'Evaluation table'!$B$3:$F$3,0)),"?"))</f>
        <v/>
      </c>
      <c r="R69" s="11">
        <f>IF(OR(J69="",K69=""),"",IFERROR(INDEX('Evaluation table'!$B$4:$F$8,MATCH(TRIM(SUBSTITUTE(J69,"’","'")),'Evaluation table'!$A$4:$A$8,0),MATCH(TRIM(SUBSTITUTE(K69,"’","'")),'Evaluation table'!$B$3:$F$3,0)),"?"))</f>
        <v/>
      </c>
      <c r="S69" s="11">
        <f>IF(OR(L69="",M69=""),"",IFERROR(INDEX('Evaluation table'!$B$4:$F$8,MATCH(TRIM(SUBSTITUTE(L69,"’","'")),'Evaluation table'!$A$4:$A$8,0),MATCH(TRIM(SUBSTITUTE(M69,"’","'")),'Evaluation table'!$B$3:$F$3,0)),"?"))</f>
        <v/>
      </c>
    </row>
    <row r="70">
      <c r="A70" s="2" t="n">
        <v>52</v>
      </c>
      <c r="B70" s="10" t="inlineStr">
        <is>
          <t>I expect it</t>
        </is>
      </c>
      <c r="C70" s="10" t="inlineStr">
        <is>
          <t>I dislike it</t>
        </is>
      </c>
      <c r="D70" s="10" t="inlineStr">
        <is>
          <t>I like it</t>
        </is>
      </c>
      <c r="E70" s="10" t="inlineStr">
        <is>
          <t>I dislike it</t>
        </is>
      </c>
      <c r="F70" s="10" t="inlineStr">
        <is>
          <t>I'm neutral</t>
        </is>
      </c>
      <c r="G70" s="10" t="inlineStr">
        <is>
          <t>I'm neutral</t>
        </is>
      </c>
      <c r="H70" s="10" t="inlineStr">
        <is>
          <t>I expect it</t>
        </is>
      </c>
      <c r="I70" s="10" t="inlineStr">
        <is>
          <t>I dislike it</t>
        </is>
      </c>
      <c r="J70" s="10" t="inlineStr">
        <is>
          <t>I'm neutral</t>
        </is>
      </c>
      <c r="K70" s="10" t="inlineStr">
        <is>
          <t>I like it</t>
        </is>
      </c>
      <c r="L70" s="10" t="inlineStr">
        <is>
          <t>I dislike it</t>
        </is>
      </c>
      <c r="M70" s="10" t="inlineStr">
        <is>
          <t>I'm neutral</t>
        </is>
      </c>
      <c r="N70" s="11">
        <f>IF(OR(B70="",C70=""),"",IFERROR(INDEX('Evaluation table'!$B$4:$F$8,MATCH(TRIM(SUBSTITUTE(B70,"’","'")),'Evaluation table'!$A$4:$A$8,0),MATCH(TRIM(SUBSTITUTE(C70,"’","'")),'Evaluation table'!$B$3:$F$3,0)),"?"))</f>
        <v/>
      </c>
      <c r="O70" s="11">
        <f>IF(OR(D70="",E70=""),"",IFERROR(INDEX('Evaluation table'!$B$4:$F$8,MATCH(TRIM(SUBSTITUTE(D70,"’","'")),'Evaluation table'!$A$4:$A$8,0),MATCH(TRIM(SUBSTITUTE(E70,"’","'")),'Evaluation table'!$B$3:$F$3,0)),"?"))</f>
        <v/>
      </c>
      <c r="P70" s="11">
        <f>IF(OR(F70="",G70=""),"",IFERROR(INDEX('Evaluation table'!$B$4:$F$8,MATCH(TRIM(SUBSTITUTE(F70,"’","'")),'Evaluation table'!$A$4:$A$8,0),MATCH(TRIM(SUBSTITUTE(G70,"’","'")),'Evaluation table'!$B$3:$F$3,0)),"?"))</f>
        <v/>
      </c>
      <c r="Q70" s="11">
        <f>IF(OR(H70="",I70=""),"",IFERROR(INDEX('Evaluation table'!$B$4:$F$8,MATCH(TRIM(SUBSTITUTE(H70,"’","'")),'Evaluation table'!$A$4:$A$8,0),MATCH(TRIM(SUBSTITUTE(I70,"’","'")),'Evaluation table'!$B$3:$F$3,0)),"?"))</f>
        <v/>
      </c>
      <c r="R70" s="11">
        <f>IF(OR(J70="",K70=""),"",IFERROR(INDEX('Evaluation table'!$B$4:$F$8,MATCH(TRIM(SUBSTITUTE(J70,"’","'")),'Evaluation table'!$A$4:$A$8,0),MATCH(TRIM(SUBSTITUTE(K70,"’","'")),'Evaluation table'!$B$3:$F$3,0)),"?"))</f>
        <v/>
      </c>
      <c r="S70" s="11">
        <f>IF(OR(L70="",M70=""),"",IFERROR(INDEX('Evaluation table'!$B$4:$F$8,MATCH(TRIM(SUBSTITUTE(L70,"’","'")),'Evaluation table'!$A$4:$A$8,0),MATCH(TRIM(SUBSTITUTE(M70,"’","'")),'Evaluation table'!$B$3:$F$3,0)),"?"))</f>
        <v/>
      </c>
    </row>
    <row r="71">
      <c r="A71" s="2" t="n">
        <v>53</v>
      </c>
      <c r="B71" s="10" t="inlineStr">
        <is>
          <t>I'm neutral</t>
        </is>
      </c>
      <c r="C71" s="10" t="inlineStr">
        <is>
          <t>I'm neutral</t>
        </is>
      </c>
      <c r="D71" s="10" t="inlineStr">
        <is>
          <t>I can tolerate it</t>
        </is>
      </c>
      <c r="E71" s="10" t="inlineStr">
        <is>
          <t>I'm neutral</t>
        </is>
      </c>
      <c r="F71" s="10" t="inlineStr">
        <is>
          <t>I'm neutral</t>
        </is>
      </c>
      <c r="G71" s="10" t="inlineStr">
        <is>
          <t>I'm neutral</t>
        </is>
      </c>
      <c r="H71" s="10" t="inlineStr">
        <is>
          <t>I'm neutral</t>
        </is>
      </c>
      <c r="I71" s="10" t="inlineStr">
        <is>
          <t>I'm neutral</t>
        </is>
      </c>
      <c r="J71" s="10" t="inlineStr">
        <is>
          <t>I like it</t>
        </is>
      </c>
      <c r="K71" s="10" t="inlineStr">
        <is>
          <t>I dislike it</t>
        </is>
      </c>
      <c r="L71" s="10" t="inlineStr">
        <is>
          <t>I'm neutral</t>
        </is>
      </c>
      <c r="M71" s="10" t="inlineStr">
        <is>
          <t>I'm neutral</t>
        </is>
      </c>
      <c r="N71" s="11">
        <f>IF(OR(B71="",C71=""),"",IFERROR(INDEX('Evaluation table'!$B$4:$F$8,MATCH(TRIM(SUBSTITUTE(B71,"’","'")),'Evaluation table'!$A$4:$A$8,0),MATCH(TRIM(SUBSTITUTE(C71,"’","'")),'Evaluation table'!$B$3:$F$3,0)),"?"))</f>
        <v/>
      </c>
      <c r="O71" s="11">
        <f>IF(OR(D71="",E71=""),"",IFERROR(INDEX('Evaluation table'!$B$4:$F$8,MATCH(TRIM(SUBSTITUTE(D71,"’","'")),'Evaluation table'!$A$4:$A$8,0),MATCH(TRIM(SUBSTITUTE(E71,"’","'")),'Evaluation table'!$B$3:$F$3,0)),"?"))</f>
        <v/>
      </c>
      <c r="P71" s="11">
        <f>IF(OR(F71="",G71=""),"",IFERROR(INDEX('Evaluation table'!$B$4:$F$8,MATCH(TRIM(SUBSTITUTE(F71,"’","'")),'Evaluation table'!$A$4:$A$8,0),MATCH(TRIM(SUBSTITUTE(G71,"’","'")),'Evaluation table'!$B$3:$F$3,0)),"?"))</f>
        <v/>
      </c>
      <c r="Q71" s="11">
        <f>IF(OR(H71="",I71=""),"",IFERROR(INDEX('Evaluation table'!$B$4:$F$8,MATCH(TRIM(SUBSTITUTE(H71,"’","'")),'Evaluation table'!$A$4:$A$8,0),MATCH(TRIM(SUBSTITUTE(I71,"’","'")),'Evaluation table'!$B$3:$F$3,0)),"?"))</f>
        <v/>
      </c>
      <c r="R71" s="11">
        <f>IF(OR(J71="",K71=""),"",IFERROR(INDEX('Evaluation table'!$B$4:$F$8,MATCH(TRIM(SUBSTITUTE(J71,"’","'")),'Evaluation table'!$A$4:$A$8,0),MATCH(TRIM(SUBSTITUTE(K71,"’","'")),'Evaluation table'!$B$3:$F$3,0)),"?"))</f>
        <v/>
      </c>
      <c r="S71" s="11">
        <f>IF(OR(L71="",M71=""),"",IFERROR(INDEX('Evaluation table'!$B$4:$F$8,MATCH(TRIM(SUBSTITUTE(L71,"’","'")),'Evaluation table'!$A$4:$A$8,0),MATCH(TRIM(SUBSTITUTE(M71,"’","'")),'Evaluation table'!$B$3:$F$3,0)),"?"))</f>
        <v/>
      </c>
    </row>
    <row r="72">
      <c r="A72" s="2" t="n">
        <v>54</v>
      </c>
      <c r="B72" s="10" t="inlineStr">
        <is>
          <t>I like it</t>
        </is>
      </c>
      <c r="C72" s="10" t="inlineStr">
        <is>
          <t>I can tolerate it</t>
        </is>
      </c>
      <c r="D72" s="10" t="inlineStr">
        <is>
          <t>I like it</t>
        </is>
      </c>
      <c r="E72" s="10" t="inlineStr">
        <is>
          <t>I dislike it</t>
        </is>
      </c>
      <c r="F72" s="10" t="inlineStr">
        <is>
          <t>I like it</t>
        </is>
      </c>
      <c r="G72" s="10" t="inlineStr">
        <is>
          <t>I'm neutral</t>
        </is>
      </c>
      <c r="H72" s="10" t="inlineStr">
        <is>
          <t>I'm neutral</t>
        </is>
      </c>
      <c r="I72" s="10" t="inlineStr">
        <is>
          <t>I dislike it</t>
        </is>
      </c>
      <c r="J72" s="10" t="inlineStr">
        <is>
          <t>I'm neutral</t>
        </is>
      </c>
      <c r="K72" s="10" t="inlineStr">
        <is>
          <t>I'm neutral</t>
        </is>
      </c>
      <c r="L72" s="10" t="inlineStr">
        <is>
          <t>I dislike it</t>
        </is>
      </c>
      <c r="M72" s="10" t="inlineStr">
        <is>
          <t>I can tolerate it</t>
        </is>
      </c>
      <c r="N72" s="11">
        <f>IF(OR(B72="",C72=""),"",IFERROR(INDEX('Evaluation table'!$B$4:$F$8,MATCH(TRIM(SUBSTITUTE(B72,"’","'")),'Evaluation table'!$A$4:$A$8,0),MATCH(TRIM(SUBSTITUTE(C72,"’","'")),'Evaluation table'!$B$3:$F$3,0)),"?"))</f>
        <v/>
      </c>
      <c r="O72" s="11">
        <f>IF(OR(D72="",E72=""),"",IFERROR(INDEX('Evaluation table'!$B$4:$F$8,MATCH(TRIM(SUBSTITUTE(D72,"’","'")),'Evaluation table'!$A$4:$A$8,0),MATCH(TRIM(SUBSTITUTE(E72,"’","'")),'Evaluation table'!$B$3:$F$3,0)),"?"))</f>
        <v/>
      </c>
      <c r="P72" s="11">
        <f>IF(OR(F72="",G72=""),"",IFERROR(INDEX('Evaluation table'!$B$4:$F$8,MATCH(TRIM(SUBSTITUTE(F72,"’","'")),'Evaluation table'!$A$4:$A$8,0),MATCH(TRIM(SUBSTITUTE(G72,"’","'")),'Evaluation table'!$B$3:$F$3,0)),"?"))</f>
        <v/>
      </c>
      <c r="Q72" s="11">
        <f>IF(OR(H72="",I72=""),"",IFERROR(INDEX('Evaluation table'!$B$4:$F$8,MATCH(TRIM(SUBSTITUTE(H72,"’","'")),'Evaluation table'!$A$4:$A$8,0),MATCH(TRIM(SUBSTITUTE(I72,"’","'")),'Evaluation table'!$B$3:$F$3,0)),"?"))</f>
        <v/>
      </c>
      <c r="R72" s="11">
        <f>IF(OR(J72="",K72=""),"",IFERROR(INDEX('Evaluation table'!$B$4:$F$8,MATCH(TRIM(SUBSTITUTE(J72,"’","'")),'Evaluation table'!$A$4:$A$8,0),MATCH(TRIM(SUBSTITUTE(K72,"’","'")),'Evaluation table'!$B$3:$F$3,0)),"?"))</f>
        <v/>
      </c>
      <c r="S72" s="11">
        <f>IF(OR(L72="",M72=""),"",IFERROR(INDEX('Evaluation table'!$B$4:$F$8,MATCH(TRIM(SUBSTITUTE(L72,"’","'")),'Evaluation table'!$A$4:$A$8,0),MATCH(TRIM(SUBSTITUTE(M72,"’","'")),'Evaluation table'!$B$3:$F$3,0)),"?"))</f>
        <v/>
      </c>
    </row>
    <row r="73">
      <c r="A73" s="2" t="n">
        <v>55</v>
      </c>
      <c r="B73" s="10" t="inlineStr">
        <is>
          <t>I like it</t>
        </is>
      </c>
      <c r="C73" s="10" t="inlineStr">
        <is>
          <t>I can tolerate it</t>
        </is>
      </c>
      <c r="D73" s="10" t="inlineStr">
        <is>
          <t>I like it</t>
        </is>
      </c>
      <c r="E73" s="10" t="inlineStr">
        <is>
          <t>I dislike it</t>
        </is>
      </c>
      <c r="F73" s="10" t="inlineStr">
        <is>
          <t>I like it</t>
        </is>
      </c>
      <c r="G73" s="10" t="inlineStr">
        <is>
          <t>I can tolerate it</t>
        </is>
      </c>
      <c r="H73" s="10" t="inlineStr">
        <is>
          <t>I dislike it</t>
        </is>
      </c>
      <c r="I73" s="10" t="inlineStr">
        <is>
          <t>I'm neutral</t>
        </is>
      </c>
      <c r="J73" s="10" t="inlineStr">
        <is>
          <t>I can tolerate it</t>
        </is>
      </c>
      <c r="K73" s="10" t="inlineStr">
        <is>
          <t>I dislike it</t>
        </is>
      </c>
      <c r="L73" s="10" t="inlineStr">
        <is>
          <t>I'm neutral</t>
        </is>
      </c>
      <c r="M73" s="10" t="inlineStr">
        <is>
          <t>I like it</t>
        </is>
      </c>
      <c r="N73" s="11">
        <f>IF(OR(B73="",C73=""),"",IFERROR(INDEX('Evaluation table'!$B$4:$F$8,MATCH(TRIM(SUBSTITUTE(B73,"’","'")),'Evaluation table'!$A$4:$A$8,0),MATCH(TRIM(SUBSTITUTE(C73,"’","'")),'Evaluation table'!$B$3:$F$3,0)),"?"))</f>
        <v/>
      </c>
      <c r="O73" s="11">
        <f>IF(OR(D73="",E73=""),"",IFERROR(INDEX('Evaluation table'!$B$4:$F$8,MATCH(TRIM(SUBSTITUTE(D73,"’","'")),'Evaluation table'!$A$4:$A$8,0),MATCH(TRIM(SUBSTITUTE(E73,"’","'")),'Evaluation table'!$B$3:$F$3,0)),"?"))</f>
        <v/>
      </c>
      <c r="P73" s="11">
        <f>IF(OR(F73="",G73=""),"",IFERROR(INDEX('Evaluation table'!$B$4:$F$8,MATCH(TRIM(SUBSTITUTE(F73,"’","'")),'Evaluation table'!$A$4:$A$8,0),MATCH(TRIM(SUBSTITUTE(G73,"’","'")),'Evaluation table'!$B$3:$F$3,0)),"?"))</f>
        <v/>
      </c>
      <c r="Q73" s="11">
        <f>IF(OR(H73="",I73=""),"",IFERROR(INDEX('Evaluation table'!$B$4:$F$8,MATCH(TRIM(SUBSTITUTE(H73,"’","'")),'Evaluation table'!$A$4:$A$8,0),MATCH(TRIM(SUBSTITUTE(I73,"’","'")),'Evaluation table'!$B$3:$F$3,0)),"?"))</f>
        <v/>
      </c>
      <c r="R73" s="11">
        <f>IF(OR(J73="",K73=""),"",IFERROR(INDEX('Evaluation table'!$B$4:$F$8,MATCH(TRIM(SUBSTITUTE(J73,"’","'")),'Evaluation table'!$A$4:$A$8,0),MATCH(TRIM(SUBSTITUTE(K73,"’","'")),'Evaluation table'!$B$3:$F$3,0)),"?"))</f>
        <v/>
      </c>
      <c r="S73" s="11">
        <f>IF(OR(L73="",M73=""),"",IFERROR(INDEX('Evaluation table'!$B$4:$F$8,MATCH(TRIM(SUBSTITUTE(L73,"’","'")),'Evaluation table'!$A$4:$A$8,0),MATCH(TRIM(SUBSTITUTE(M73,"’","'")),'Evaluation table'!$B$3:$F$3,0)),"?"))</f>
        <v/>
      </c>
    </row>
    <row r="74">
      <c r="A74" s="2" t="n">
        <v>56</v>
      </c>
      <c r="B74" s="10" t="inlineStr">
        <is>
          <t>I like it</t>
        </is>
      </c>
      <c r="C74" s="10" t="inlineStr">
        <is>
          <t>I'm neutral</t>
        </is>
      </c>
      <c r="D74" s="10" t="inlineStr">
        <is>
          <t>I like it</t>
        </is>
      </c>
      <c r="E74" s="10" t="inlineStr">
        <is>
          <t>I dislike it</t>
        </is>
      </c>
      <c r="F74" s="10" t="inlineStr">
        <is>
          <t>I like it</t>
        </is>
      </c>
      <c r="G74" s="10" t="inlineStr">
        <is>
          <t>I'm neutral</t>
        </is>
      </c>
      <c r="H74" s="10" t="inlineStr">
        <is>
          <t>I like it</t>
        </is>
      </c>
      <c r="I74" s="10" t="inlineStr">
        <is>
          <t>I'm neutral</t>
        </is>
      </c>
      <c r="J74" s="10" t="inlineStr">
        <is>
          <t>I'm neutral</t>
        </is>
      </c>
      <c r="K74" s="10" t="inlineStr">
        <is>
          <t>I'm neutral</t>
        </is>
      </c>
      <c r="L74" s="10" t="inlineStr">
        <is>
          <t>I like it</t>
        </is>
      </c>
      <c r="M74" s="10" t="inlineStr">
        <is>
          <t>I expect it</t>
        </is>
      </c>
      <c r="N74" s="11">
        <f>IF(OR(B74="",C74=""),"",IFERROR(INDEX('Evaluation table'!$B$4:$F$8,MATCH(TRIM(SUBSTITUTE(B74,"’","'")),'Evaluation table'!$A$4:$A$8,0),MATCH(TRIM(SUBSTITUTE(C74,"’","'")),'Evaluation table'!$B$3:$F$3,0)),"?"))</f>
        <v/>
      </c>
      <c r="O74" s="11">
        <f>IF(OR(D74="",E74=""),"",IFERROR(INDEX('Evaluation table'!$B$4:$F$8,MATCH(TRIM(SUBSTITUTE(D74,"’","'")),'Evaluation table'!$A$4:$A$8,0),MATCH(TRIM(SUBSTITUTE(E74,"’","'")),'Evaluation table'!$B$3:$F$3,0)),"?"))</f>
        <v/>
      </c>
      <c r="P74" s="11">
        <f>IF(OR(F74="",G74=""),"",IFERROR(INDEX('Evaluation table'!$B$4:$F$8,MATCH(TRIM(SUBSTITUTE(F74,"’","'")),'Evaluation table'!$A$4:$A$8,0),MATCH(TRIM(SUBSTITUTE(G74,"’","'")),'Evaluation table'!$B$3:$F$3,0)),"?"))</f>
        <v/>
      </c>
      <c r="Q74" s="11">
        <f>IF(OR(H74="",I74=""),"",IFERROR(INDEX('Evaluation table'!$B$4:$F$8,MATCH(TRIM(SUBSTITUTE(H74,"’","'")),'Evaluation table'!$A$4:$A$8,0),MATCH(TRIM(SUBSTITUTE(I74,"’","'")),'Evaluation table'!$B$3:$F$3,0)),"?"))</f>
        <v/>
      </c>
      <c r="R74" s="11">
        <f>IF(OR(J74="",K74=""),"",IFERROR(INDEX('Evaluation table'!$B$4:$F$8,MATCH(TRIM(SUBSTITUTE(J74,"’","'")),'Evaluation table'!$A$4:$A$8,0),MATCH(TRIM(SUBSTITUTE(K74,"’","'")),'Evaluation table'!$B$3:$F$3,0)),"?"))</f>
        <v/>
      </c>
      <c r="S74" s="11">
        <f>IF(OR(L74="",M74=""),"",IFERROR(INDEX('Evaluation table'!$B$4:$F$8,MATCH(TRIM(SUBSTITUTE(L74,"’","'")),'Evaluation table'!$A$4:$A$8,0),MATCH(TRIM(SUBSTITUTE(M74,"’","'")),'Evaluation table'!$B$3:$F$3,0)),"?"))</f>
        <v/>
      </c>
    </row>
    <row r="75">
      <c r="A75" s="2" t="n">
        <v>57</v>
      </c>
      <c r="B75" s="10" t="inlineStr">
        <is>
          <t>I'm neutral</t>
        </is>
      </c>
      <c r="C75" s="10" t="inlineStr">
        <is>
          <t>I dislike it</t>
        </is>
      </c>
      <c r="D75" s="10" t="inlineStr">
        <is>
          <t>I like it</t>
        </is>
      </c>
      <c r="E75" s="10" t="inlineStr">
        <is>
          <t>I dislike it</t>
        </is>
      </c>
      <c r="F75" s="10" t="inlineStr">
        <is>
          <t>I like it</t>
        </is>
      </c>
      <c r="G75" s="10" t="inlineStr">
        <is>
          <t>I dislike it</t>
        </is>
      </c>
      <c r="H75" s="10" t="inlineStr">
        <is>
          <t>I like it</t>
        </is>
      </c>
      <c r="I75" s="10" t="inlineStr">
        <is>
          <t>I'm neutral</t>
        </is>
      </c>
      <c r="J75" s="10" t="inlineStr">
        <is>
          <t>I like it</t>
        </is>
      </c>
      <c r="K75" s="10" t="inlineStr">
        <is>
          <t>I expect it</t>
        </is>
      </c>
      <c r="L75" s="10" t="inlineStr">
        <is>
          <t>I like it</t>
        </is>
      </c>
      <c r="M75" s="10" t="inlineStr">
        <is>
          <t>I expect it</t>
        </is>
      </c>
      <c r="N75" s="11">
        <f>IF(OR(B75="",C75=""),"",IFERROR(INDEX('Evaluation table'!$B$4:$F$8,MATCH(TRIM(SUBSTITUTE(B75,"’","'")),'Evaluation table'!$A$4:$A$8,0),MATCH(TRIM(SUBSTITUTE(C75,"’","'")),'Evaluation table'!$B$3:$F$3,0)),"?"))</f>
        <v/>
      </c>
      <c r="O75" s="11">
        <f>IF(OR(D75="",E75=""),"",IFERROR(INDEX('Evaluation table'!$B$4:$F$8,MATCH(TRIM(SUBSTITUTE(D75,"’","'")),'Evaluation table'!$A$4:$A$8,0),MATCH(TRIM(SUBSTITUTE(E75,"’","'")),'Evaluation table'!$B$3:$F$3,0)),"?"))</f>
        <v/>
      </c>
      <c r="P75" s="11">
        <f>IF(OR(F75="",G75=""),"",IFERROR(INDEX('Evaluation table'!$B$4:$F$8,MATCH(TRIM(SUBSTITUTE(F75,"’","'")),'Evaluation table'!$A$4:$A$8,0),MATCH(TRIM(SUBSTITUTE(G75,"’","'")),'Evaluation table'!$B$3:$F$3,0)),"?"))</f>
        <v/>
      </c>
      <c r="Q75" s="11">
        <f>IF(OR(H75="",I75=""),"",IFERROR(INDEX('Evaluation table'!$B$4:$F$8,MATCH(TRIM(SUBSTITUTE(H75,"’","'")),'Evaluation table'!$A$4:$A$8,0),MATCH(TRIM(SUBSTITUTE(I75,"’","'")),'Evaluation table'!$B$3:$F$3,0)),"?"))</f>
        <v/>
      </c>
      <c r="R75" s="11">
        <f>IF(OR(J75="",K75=""),"",IFERROR(INDEX('Evaluation table'!$B$4:$F$8,MATCH(TRIM(SUBSTITUTE(J75,"’","'")),'Evaluation table'!$A$4:$A$8,0),MATCH(TRIM(SUBSTITUTE(K75,"’","'")),'Evaluation table'!$B$3:$F$3,0)),"?"))</f>
        <v/>
      </c>
      <c r="S75" s="11">
        <f>IF(OR(L75="",M75=""),"",IFERROR(INDEX('Evaluation table'!$B$4:$F$8,MATCH(TRIM(SUBSTITUTE(L75,"’","'")),'Evaluation table'!$A$4:$A$8,0),MATCH(TRIM(SUBSTITUTE(M75,"’","'")),'Evaluation table'!$B$3:$F$3,0)),"?"))</f>
        <v/>
      </c>
    </row>
    <row r="76">
      <c r="A76" s="2" t="n">
        <v>58</v>
      </c>
      <c r="B76" s="10" t="inlineStr">
        <is>
          <t>I can tolerate it</t>
        </is>
      </c>
      <c r="C76" s="10" t="inlineStr">
        <is>
          <t>I can tolerate it</t>
        </is>
      </c>
      <c r="D76" s="10" t="inlineStr">
        <is>
          <t>I like it</t>
        </is>
      </c>
      <c r="E76" s="10" t="inlineStr">
        <is>
          <t>I dislike it</t>
        </is>
      </c>
      <c r="F76" s="10" t="inlineStr">
        <is>
          <t>I'm neutral</t>
        </is>
      </c>
      <c r="G76" s="10" t="inlineStr">
        <is>
          <t>I can tolerate it</t>
        </is>
      </c>
      <c r="H76" s="10" t="inlineStr">
        <is>
          <t>I can tolerate it</t>
        </is>
      </c>
      <c r="I76" s="10" t="inlineStr">
        <is>
          <t>I like it</t>
        </is>
      </c>
      <c r="J76" s="10" t="inlineStr">
        <is>
          <t>I like it</t>
        </is>
      </c>
      <c r="K76" s="10" t="inlineStr">
        <is>
          <t>I'm neutral</t>
        </is>
      </c>
      <c r="L76" s="10" t="inlineStr">
        <is>
          <t>I like it</t>
        </is>
      </c>
      <c r="M76" s="10" t="inlineStr">
        <is>
          <t>I dislike it</t>
        </is>
      </c>
      <c r="N76" s="11">
        <f>IF(OR(B76="",C76=""),"",IFERROR(INDEX('Evaluation table'!$B$4:$F$8,MATCH(TRIM(SUBSTITUTE(B76,"’","'")),'Evaluation table'!$A$4:$A$8,0),MATCH(TRIM(SUBSTITUTE(C76,"’","'")),'Evaluation table'!$B$3:$F$3,0)),"?"))</f>
        <v/>
      </c>
      <c r="O76" s="11">
        <f>IF(OR(D76="",E76=""),"",IFERROR(INDEX('Evaluation table'!$B$4:$F$8,MATCH(TRIM(SUBSTITUTE(D76,"’","'")),'Evaluation table'!$A$4:$A$8,0),MATCH(TRIM(SUBSTITUTE(E76,"’","'")),'Evaluation table'!$B$3:$F$3,0)),"?"))</f>
        <v/>
      </c>
      <c r="P76" s="11">
        <f>IF(OR(F76="",G76=""),"",IFERROR(INDEX('Evaluation table'!$B$4:$F$8,MATCH(TRIM(SUBSTITUTE(F76,"’","'")),'Evaluation table'!$A$4:$A$8,0),MATCH(TRIM(SUBSTITUTE(G76,"’","'")),'Evaluation table'!$B$3:$F$3,0)),"?"))</f>
        <v/>
      </c>
      <c r="Q76" s="11">
        <f>IF(OR(H76="",I76=""),"",IFERROR(INDEX('Evaluation table'!$B$4:$F$8,MATCH(TRIM(SUBSTITUTE(H76,"’","'")),'Evaluation table'!$A$4:$A$8,0),MATCH(TRIM(SUBSTITUTE(I76,"’","'")),'Evaluation table'!$B$3:$F$3,0)),"?"))</f>
        <v/>
      </c>
      <c r="R76" s="11">
        <f>IF(OR(J76="",K76=""),"",IFERROR(INDEX('Evaluation table'!$B$4:$F$8,MATCH(TRIM(SUBSTITUTE(J76,"’","'")),'Evaluation table'!$A$4:$A$8,0),MATCH(TRIM(SUBSTITUTE(K76,"’","'")),'Evaluation table'!$B$3:$F$3,0)),"?"))</f>
        <v/>
      </c>
      <c r="S76" s="11">
        <f>IF(OR(L76="",M76=""),"",IFERROR(INDEX('Evaluation table'!$B$4:$F$8,MATCH(TRIM(SUBSTITUTE(L76,"’","'")),'Evaluation table'!$A$4:$A$8,0),MATCH(TRIM(SUBSTITUTE(M76,"’","'")),'Evaluation table'!$B$3:$F$3,0)),"?"))</f>
        <v/>
      </c>
    </row>
    <row r="77">
      <c r="A77" s="2" t="n">
        <v>59</v>
      </c>
      <c r="B77" s="10" t="inlineStr">
        <is>
          <t>I like it</t>
        </is>
      </c>
      <c r="C77" s="10" t="inlineStr">
        <is>
          <t>I dislike it</t>
        </is>
      </c>
      <c r="D77" s="10" t="inlineStr">
        <is>
          <t>I expect it</t>
        </is>
      </c>
      <c r="E77" s="10" t="inlineStr">
        <is>
          <t>I dislike it</t>
        </is>
      </c>
      <c r="F77" s="10" t="inlineStr">
        <is>
          <t>I'm neutral</t>
        </is>
      </c>
      <c r="G77" s="10" t="inlineStr">
        <is>
          <t>I'm neutral</t>
        </is>
      </c>
      <c r="H77" s="10" t="inlineStr">
        <is>
          <t>I like it</t>
        </is>
      </c>
      <c r="I77" s="10" t="inlineStr">
        <is>
          <t>I'm neutral</t>
        </is>
      </c>
      <c r="J77" s="10" t="inlineStr">
        <is>
          <t>I like it</t>
        </is>
      </c>
      <c r="K77" s="10" t="inlineStr">
        <is>
          <t>I can tolerate it</t>
        </is>
      </c>
      <c r="L77" s="10" t="inlineStr">
        <is>
          <t>I dislike it</t>
        </is>
      </c>
      <c r="M77" s="10" t="inlineStr">
        <is>
          <t>I'm neutral</t>
        </is>
      </c>
      <c r="N77" s="11">
        <f>IF(OR(B77="",C77=""),"",IFERROR(INDEX('Evaluation table'!$B$4:$F$8,MATCH(TRIM(SUBSTITUTE(B77,"’","'")),'Evaluation table'!$A$4:$A$8,0),MATCH(TRIM(SUBSTITUTE(C77,"’","'")),'Evaluation table'!$B$3:$F$3,0)),"?"))</f>
        <v/>
      </c>
      <c r="O77" s="11">
        <f>IF(OR(D77="",E77=""),"",IFERROR(INDEX('Evaluation table'!$B$4:$F$8,MATCH(TRIM(SUBSTITUTE(D77,"’","'")),'Evaluation table'!$A$4:$A$8,0),MATCH(TRIM(SUBSTITUTE(E77,"’","'")),'Evaluation table'!$B$3:$F$3,0)),"?"))</f>
        <v/>
      </c>
      <c r="P77" s="11">
        <f>IF(OR(F77="",G77=""),"",IFERROR(INDEX('Evaluation table'!$B$4:$F$8,MATCH(TRIM(SUBSTITUTE(F77,"’","'")),'Evaluation table'!$A$4:$A$8,0),MATCH(TRIM(SUBSTITUTE(G77,"’","'")),'Evaluation table'!$B$3:$F$3,0)),"?"))</f>
        <v/>
      </c>
      <c r="Q77" s="11">
        <f>IF(OR(H77="",I77=""),"",IFERROR(INDEX('Evaluation table'!$B$4:$F$8,MATCH(TRIM(SUBSTITUTE(H77,"’","'")),'Evaluation table'!$A$4:$A$8,0),MATCH(TRIM(SUBSTITUTE(I77,"’","'")),'Evaluation table'!$B$3:$F$3,0)),"?"))</f>
        <v/>
      </c>
      <c r="R77" s="11">
        <f>IF(OR(J77="",K77=""),"",IFERROR(INDEX('Evaluation table'!$B$4:$F$8,MATCH(TRIM(SUBSTITUTE(J77,"’","'")),'Evaluation table'!$A$4:$A$8,0),MATCH(TRIM(SUBSTITUTE(K77,"’","'")),'Evaluation table'!$B$3:$F$3,0)),"?"))</f>
        <v/>
      </c>
      <c r="S77" s="11">
        <f>IF(OR(L77="",M77=""),"",IFERROR(INDEX('Evaluation table'!$B$4:$F$8,MATCH(TRIM(SUBSTITUTE(L77,"’","'")),'Evaluation table'!$A$4:$A$8,0),MATCH(TRIM(SUBSTITUTE(M77,"’","'")),'Evaluation table'!$B$3:$F$3,0)),"?"))</f>
        <v/>
      </c>
    </row>
    <row r="78">
      <c r="A78" s="2" t="n">
        <v>60</v>
      </c>
      <c r="B78" s="10" t="inlineStr">
        <is>
          <t>I like it</t>
        </is>
      </c>
      <c r="C78" s="10" t="inlineStr">
        <is>
          <t>I dislike it</t>
        </is>
      </c>
      <c r="D78" s="10" t="inlineStr">
        <is>
          <t>I like it</t>
        </is>
      </c>
      <c r="E78" s="10" t="inlineStr">
        <is>
          <t>I dislike it</t>
        </is>
      </c>
      <c r="F78" s="10" t="inlineStr">
        <is>
          <t>I like it</t>
        </is>
      </c>
      <c r="G78" s="10" t="inlineStr">
        <is>
          <t>I dislike it</t>
        </is>
      </c>
      <c r="H78" s="10" t="inlineStr">
        <is>
          <t>I'm neutral</t>
        </is>
      </c>
      <c r="I78" s="10" t="inlineStr">
        <is>
          <t>I'm neutral</t>
        </is>
      </c>
      <c r="J78" s="10" t="inlineStr">
        <is>
          <t>I dislike it</t>
        </is>
      </c>
      <c r="K78" s="10" t="inlineStr">
        <is>
          <t>I can tolerate it</t>
        </is>
      </c>
      <c r="L78" s="10" t="inlineStr">
        <is>
          <t>I dislike it</t>
        </is>
      </c>
      <c r="M78" s="10" t="inlineStr">
        <is>
          <t>I can tolerate it</t>
        </is>
      </c>
      <c r="N78" s="11">
        <f>IF(OR(B78="",C78=""),"",IFERROR(INDEX('Evaluation table'!$B$4:$F$8,MATCH(TRIM(SUBSTITUTE(B78,"’","'")),'Evaluation table'!$A$4:$A$8,0),MATCH(TRIM(SUBSTITUTE(C78,"’","'")),'Evaluation table'!$B$3:$F$3,0)),"?"))</f>
        <v/>
      </c>
      <c r="O78" s="11">
        <f>IF(OR(D78="",E78=""),"",IFERROR(INDEX('Evaluation table'!$B$4:$F$8,MATCH(TRIM(SUBSTITUTE(D78,"’","'")),'Evaluation table'!$A$4:$A$8,0),MATCH(TRIM(SUBSTITUTE(E78,"’","'")),'Evaluation table'!$B$3:$F$3,0)),"?"))</f>
        <v/>
      </c>
      <c r="P78" s="11">
        <f>IF(OR(F78="",G78=""),"",IFERROR(INDEX('Evaluation table'!$B$4:$F$8,MATCH(TRIM(SUBSTITUTE(F78,"’","'")),'Evaluation table'!$A$4:$A$8,0),MATCH(TRIM(SUBSTITUTE(G78,"’","'")),'Evaluation table'!$B$3:$F$3,0)),"?"))</f>
        <v/>
      </c>
      <c r="Q78" s="11">
        <f>IF(OR(H78="",I78=""),"",IFERROR(INDEX('Evaluation table'!$B$4:$F$8,MATCH(TRIM(SUBSTITUTE(H78,"’","'")),'Evaluation table'!$A$4:$A$8,0),MATCH(TRIM(SUBSTITUTE(I78,"’","'")),'Evaluation table'!$B$3:$F$3,0)),"?"))</f>
        <v/>
      </c>
      <c r="R78" s="11">
        <f>IF(OR(J78="",K78=""),"",IFERROR(INDEX('Evaluation table'!$B$4:$F$8,MATCH(TRIM(SUBSTITUTE(J78,"’","'")),'Evaluation table'!$A$4:$A$8,0),MATCH(TRIM(SUBSTITUTE(K78,"’","'")),'Evaluation table'!$B$3:$F$3,0)),"?"))</f>
        <v/>
      </c>
      <c r="S78" s="11">
        <f>IF(OR(L78="",M78=""),"",IFERROR(INDEX('Evaluation table'!$B$4:$F$8,MATCH(TRIM(SUBSTITUTE(L78,"’","'")),'Evaluation table'!$A$4:$A$8,0),MATCH(TRIM(SUBSTITUTE(M78,"’","'")),'Evaluation table'!$B$3:$F$3,0)),"?"))</f>
        <v/>
      </c>
    </row>
    <row r="79">
      <c r="A79" s="2" t="n">
        <v>61</v>
      </c>
      <c r="B79" s="10" t="inlineStr">
        <is>
          <t>I can tolerate it</t>
        </is>
      </c>
      <c r="C79" s="10" t="inlineStr">
        <is>
          <t>I dislike it</t>
        </is>
      </c>
      <c r="D79" s="10" t="inlineStr">
        <is>
          <t>I expect it</t>
        </is>
      </c>
      <c r="E79" s="10" t="inlineStr">
        <is>
          <t>I dislike it</t>
        </is>
      </c>
      <c r="F79" s="10" t="inlineStr">
        <is>
          <t>I like it</t>
        </is>
      </c>
      <c r="G79" s="10" t="inlineStr">
        <is>
          <t>I'm neutral</t>
        </is>
      </c>
      <c r="H79" s="10" t="inlineStr">
        <is>
          <t>I can tolerate it</t>
        </is>
      </c>
      <c r="I79" s="10" t="inlineStr">
        <is>
          <t>I can tolerate it</t>
        </is>
      </c>
      <c r="J79" s="10" t="inlineStr">
        <is>
          <t>I'm neutral</t>
        </is>
      </c>
      <c r="K79" s="10" t="inlineStr">
        <is>
          <t>I can tolerate it</t>
        </is>
      </c>
      <c r="L79" s="10" t="inlineStr">
        <is>
          <t>I can tolerate it</t>
        </is>
      </c>
      <c r="M79" s="10" t="inlineStr">
        <is>
          <t>I'm neutral</t>
        </is>
      </c>
      <c r="N79" s="11">
        <f>IF(OR(B79="",C79=""),"",IFERROR(INDEX('Evaluation table'!$B$4:$F$8,MATCH(TRIM(SUBSTITUTE(B79,"’","'")),'Evaluation table'!$A$4:$A$8,0),MATCH(TRIM(SUBSTITUTE(C79,"’","'")),'Evaluation table'!$B$3:$F$3,0)),"?"))</f>
        <v/>
      </c>
      <c r="O79" s="11">
        <f>IF(OR(D79="",E79=""),"",IFERROR(INDEX('Evaluation table'!$B$4:$F$8,MATCH(TRIM(SUBSTITUTE(D79,"’","'")),'Evaluation table'!$A$4:$A$8,0),MATCH(TRIM(SUBSTITUTE(E79,"’","'")),'Evaluation table'!$B$3:$F$3,0)),"?"))</f>
        <v/>
      </c>
      <c r="P79" s="11">
        <f>IF(OR(F79="",G79=""),"",IFERROR(INDEX('Evaluation table'!$B$4:$F$8,MATCH(TRIM(SUBSTITUTE(F79,"’","'")),'Evaluation table'!$A$4:$A$8,0),MATCH(TRIM(SUBSTITUTE(G79,"’","'")),'Evaluation table'!$B$3:$F$3,0)),"?"))</f>
        <v/>
      </c>
      <c r="Q79" s="11">
        <f>IF(OR(H79="",I79=""),"",IFERROR(INDEX('Evaluation table'!$B$4:$F$8,MATCH(TRIM(SUBSTITUTE(H79,"’","'")),'Evaluation table'!$A$4:$A$8,0),MATCH(TRIM(SUBSTITUTE(I79,"’","'")),'Evaluation table'!$B$3:$F$3,0)),"?"))</f>
        <v/>
      </c>
      <c r="R79" s="11">
        <f>IF(OR(J79="",K79=""),"",IFERROR(INDEX('Evaluation table'!$B$4:$F$8,MATCH(TRIM(SUBSTITUTE(J79,"’","'")),'Evaluation table'!$A$4:$A$8,0),MATCH(TRIM(SUBSTITUTE(K79,"’","'")),'Evaluation table'!$B$3:$F$3,0)),"?"))</f>
        <v/>
      </c>
      <c r="S79" s="11">
        <f>IF(OR(L79="",M79=""),"",IFERROR(INDEX('Evaluation table'!$B$4:$F$8,MATCH(TRIM(SUBSTITUTE(L79,"’","'")),'Evaluation table'!$A$4:$A$8,0),MATCH(TRIM(SUBSTITUTE(M79,"’","'")),'Evaluation table'!$B$3:$F$3,0)),"?"))</f>
        <v/>
      </c>
    </row>
    <row r="80">
      <c r="A80" s="2" t="n">
        <v>62</v>
      </c>
      <c r="B80" s="10" t="inlineStr">
        <is>
          <t>I can tolerate it</t>
        </is>
      </c>
      <c r="C80" s="10" t="inlineStr">
        <is>
          <t>I dislike it</t>
        </is>
      </c>
      <c r="D80" s="10" t="inlineStr">
        <is>
          <t>I like it</t>
        </is>
      </c>
      <c r="E80" s="10" t="inlineStr">
        <is>
          <t>I'm neutral</t>
        </is>
      </c>
      <c r="F80" s="10" t="inlineStr">
        <is>
          <t>I can tolerate it</t>
        </is>
      </c>
      <c r="G80" s="10" t="inlineStr">
        <is>
          <t>I'm neutral</t>
        </is>
      </c>
      <c r="H80" s="10" t="inlineStr">
        <is>
          <t>I like it</t>
        </is>
      </c>
      <c r="I80" s="10" t="inlineStr">
        <is>
          <t>I dislike it</t>
        </is>
      </c>
      <c r="J80" s="10" t="inlineStr">
        <is>
          <t>I like it</t>
        </is>
      </c>
      <c r="K80" s="10" t="inlineStr">
        <is>
          <t>I dislike it</t>
        </is>
      </c>
      <c r="L80" s="10" t="inlineStr">
        <is>
          <t>I dislike it</t>
        </is>
      </c>
      <c r="M80" s="10" t="inlineStr">
        <is>
          <t>I can tolerate it</t>
        </is>
      </c>
      <c r="N80" s="11">
        <f>IF(OR(B80="",C80=""),"",IFERROR(INDEX('Evaluation table'!$B$4:$F$8,MATCH(TRIM(SUBSTITUTE(B80,"’","'")),'Evaluation table'!$A$4:$A$8,0),MATCH(TRIM(SUBSTITUTE(C80,"’","'")),'Evaluation table'!$B$3:$F$3,0)),"?"))</f>
        <v/>
      </c>
      <c r="O80" s="11">
        <f>IF(OR(D80="",E80=""),"",IFERROR(INDEX('Evaluation table'!$B$4:$F$8,MATCH(TRIM(SUBSTITUTE(D80,"’","'")),'Evaluation table'!$A$4:$A$8,0),MATCH(TRIM(SUBSTITUTE(E80,"’","'")),'Evaluation table'!$B$3:$F$3,0)),"?"))</f>
        <v/>
      </c>
      <c r="P80" s="11">
        <f>IF(OR(F80="",G80=""),"",IFERROR(INDEX('Evaluation table'!$B$4:$F$8,MATCH(TRIM(SUBSTITUTE(F80,"’","'")),'Evaluation table'!$A$4:$A$8,0),MATCH(TRIM(SUBSTITUTE(G80,"’","'")),'Evaluation table'!$B$3:$F$3,0)),"?"))</f>
        <v/>
      </c>
      <c r="Q80" s="11">
        <f>IF(OR(H80="",I80=""),"",IFERROR(INDEX('Evaluation table'!$B$4:$F$8,MATCH(TRIM(SUBSTITUTE(H80,"’","'")),'Evaluation table'!$A$4:$A$8,0),MATCH(TRIM(SUBSTITUTE(I80,"’","'")),'Evaluation table'!$B$3:$F$3,0)),"?"))</f>
        <v/>
      </c>
      <c r="R80" s="11">
        <f>IF(OR(J80="",K80=""),"",IFERROR(INDEX('Evaluation table'!$B$4:$F$8,MATCH(TRIM(SUBSTITUTE(J80,"’","'")),'Evaluation table'!$A$4:$A$8,0),MATCH(TRIM(SUBSTITUTE(K80,"’","'")),'Evaluation table'!$B$3:$F$3,0)),"?"))</f>
        <v/>
      </c>
      <c r="S80" s="11">
        <f>IF(OR(L80="",M80=""),"",IFERROR(INDEX('Evaluation table'!$B$4:$F$8,MATCH(TRIM(SUBSTITUTE(L80,"’","'")),'Evaluation table'!$A$4:$A$8,0),MATCH(TRIM(SUBSTITUTE(M80,"’","'")),'Evaluation table'!$B$3:$F$3,0)),"?"))</f>
        <v/>
      </c>
    </row>
    <row r="81">
      <c r="A81" s="2" t="n">
        <v>63</v>
      </c>
      <c r="B81" s="10" t="inlineStr">
        <is>
          <t>I can tolerate it</t>
        </is>
      </c>
      <c r="C81" s="10" t="inlineStr">
        <is>
          <t>I dislike it</t>
        </is>
      </c>
      <c r="D81" s="10" t="inlineStr">
        <is>
          <t>I expect it</t>
        </is>
      </c>
      <c r="E81" s="10" t="inlineStr">
        <is>
          <t>I dislike it</t>
        </is>
      </c>
      <c r="F81" s="10" t="inlineStr">
        <is>
          <t>I like it</t>
        </is>
      </c>
      <c r="G81" s="10" t="inlineStr">
        <is>
          <t>I'm neutral</t>
        </is>
      </c>
      <c r="H81" s="10" t="inlineStr">
        <is>
          <t>I'm neutral</t>
        </is>
      </c>
      <c r="I81" s="10" t="inlineStr">
        <is>
          <t>I'm neutral</t>
        </is>
      </c>
      <c r="J81" s="10" t="inlineStr">
        <is>
          <t>I can tolerate it</t>
        </is>
      </c>
      <c r="K81" s="10" t="inlineStr">
        <is>
          <t>I can tolerate it</t>
        </is>
      </c>
      <c r="L81" s="10" t="inlineStr">
        <is>
          <t>I like it</t>
        </is>
      </c>
      <c r="M81" s="10" t="inlineStr">
        <is>
          <t>I'm neutral</t>
        </is>
      </c>
      <c r="N81" s="11">
        <f>IF(OR(B81="",C81=""),"",IFERROR(INDEX('Evaluation table'!$B$4:$F$8,MATCH(TRIM(SUBSTITUTE(B81,"’","'")),'Evaluation table'!$A$4:$A$8,0),MATCH(TRIM(SUBSTITUTE(C81,"’","'")),'Evaluation table'!$B$3:$F$3,0)),"?"))</f>
        <v/>
      </c>
      <c r="O81" s="11">
        <f>IF(OR(D81="",E81=""),"",IFERROR(INDEX('Evaluation table'!$B$4:$F$8,MATCH(TRIM(SUBSTITUTE(D81,"’","'")),'Evaluation table'!$A$4:$A$8,0),MATCH(TRIM(SUBSTITUTE(E81,"’","'")),'Evaluation table'!$B$3:$F$3,0)),"?"))</f>
        <v/>
      </c>
      <c r="P81" s="11">
        <f>IF(OR(F81="",G81=""),"",IFERROR(INDEX('Evaluation table'!$B$4:$F$8,MATCH(TRIM(SUBSTITUTE(F81,"’","'")),'Evaluation table'!$A$4:$A$8,0),MATCH(TRIM(SUBSTITUTE(G81,"’","'")),'Evaluation table'!$B$3:$F$3,0)),"?"))</f>
        <v/>
      </c>
      <c r="Q81" s="11">
        <f>IF(OR(H81="",I81=""),"",IFERROR(INDEX('Evaluation table'!$B$4:$F$8,MATCH(TRIM(SUBSTITUTE(H81,"’","'")),'Evaluation table'!$A$4:$A$8,0),MATCH(TRIM(SUBSTITUTE(I81,"’","'")),'Evaluation table'!$B$3:$F$3,0)),"?"))</f>
        <v/>
      </c>
      <c r="R81" s="11">
        <f>IF(OR(J81="",K81=""),"",IFERROR(INDEX('Evaluation table'!$B$4:$F$8,MATCH(TRIM(SUBSTITUTE(J81,"’","'")),'Evaluation table'!$A$4:$A$8,0),MATCH(TRIM(SUBSTITUTE(K81,"’","'")),'Evaluation table'!$B$3:$F$3,0)),"?"))</f>
        <v/>
      </c>
      <c r="S81" s="11">
        <f>IF(OR(L81="",M81=""),"",IFERROR(INDEX('Evaluation table'!$B$4:$F$8,MATCH(TRIM(SUBSTITUTE(L81,"’","'")),'Evaluation table'!$A$4:$A$8,0),MATCH(TRIM(SUBSTITUTE(M81,"’","'")),'Evaluation table'!$B$3:$F$3,0)),"?"))</f>
        <v/>
      </c>
    </row>
    <row r="82">
      <c r="A82" s="2" t="n">
        <v>64</v>
      </c>
      <c r="B82" s="10" t="inlineStr">
        <is>
          <t>I'm neutral</t>
        </is>
      </c>
      <c r="C82" s="10" t="inlineStr">
        <is>
          <t>I dislike it</t>
        </is>
      </c>
      <c r="D82" s="10" t="inlineStr">
        <is>
          <t>I expect it</t>
        </is>
      </c>
      <c r="E82" s="10" t="inlineStr">
        <is>
          <t>I dislike it</t>
        </is>
      </c>
      <c r="F82" s="10" t="inlineStr">
        <is>
          <t>I'm neutral</t>
        </is>
      </c>
      <c r="G82" s="10" t="inlineStr">
        <is>
          <t>I'm neutral</t>
        </is>
      </c>
      <c r="H82" s="10" t="inlineStr">
        <is>
          <t>I'm neutral</t>
        </is>
      </c>
      <c r="I82" s="10" t="inlineStr">
        <is>
          <t>I'm neutral</t>
        </is>
      </c>
      <c r="J82" s="10" t="inlineStr">
        <is>
          <t>I like it</t>
        </is>
      </c>
      <c r="K82" s="10" t="inlineStr">
        <is>
          <t>I'm neutral</t>
        </is>
      </c>
      <c r="L82" s="10" t="inlineStr">
        <is>
          <t>I like it</t>
        </is>
      </c>
      <c r="M82" s="10" t="inlineStr">
        <is>
          <t>I'm neutral</t>
        </is>
      </c>
      <c r="N82" s="11">
        <f>IF(OR(B82="",C82=""),"",IFERROR(INDEX('Evaluation table'!$B$4:$F$8,MATCH(TRIM(SUBSTITUTE(B82,"’","'")),'Evaluation table'!$A$4:$A$8,0),MATCH(TRIM(SUBSTITUTE(C82,"’","'")),'Evaluation table'!$B$3:$F$3,0)),"?"))</f>
        <v/>
      </c>
      <c r="O82" s="11">
        <f>IF(OR(D82="",E82=""),"",IFERROR(INDEX('Evaluation table'!$B$4:$F$8,MATCH(TRIM(SUBSTITUTE(D82,"’","'")),'Evaluation table'!$A$4:$A$8,0),MATCH(TRIM(SUBSTITUTE(E82,"’","'")),'Evaluation table'!$B$3:$F$3,0)),"?"))</f>
        <v/>
      </c>
      <c r="P82" s="11">
        <f>IF(OR(F82="",G82=""),"",IFERROR(INDEX('Evaluation table'!$B$4:$F$8,MATCH(TRIM(SUBSTITUTE(F82,"’","'")),'Evaluation table'!$A$4:$A$8,0),MATCH(TRIM(SUBSTITUTE(G82,"’","'")),'Evaluation table'!$B$3:$F$3,0)),"?"))</f>
        <v/>
      </c>
      <c r="Q82" s="11">
        <f>IF(OR(H82="",I82=""),"",IFERROR(INDEX('Evaluation table'!$B$4:$F$8,MATCH(TRIM(SUBSTITUTE(H82,"’","'")),'Evaluation table'!$A$4:$A$8,0),MATCH(TRIM(SUBSTITUTE(I82,"’","'")),'Evaluation table'!$B$3:$F$3,0)),"?"))</f>
        <v/>
      </c>
      <c r="R82" s="11">
        <f>IF(OR(J82="",K82=""),"",IFERROR(INDEX('Evaluation table'!$B$4:$F$8,MATCH(TRIM(SUBSTITUTE(J82,"’","'")),'Evaluation table'!$A$4:$A$8,0),MATCH(TRIM(SUBSTITUTE(K82,"’","'")),'Evaluation table'!$B$3:$F$3,0)),"?"))</f>
        <v/>
      </c>
      <c r="S82" s="11">
        <f>IF(OR(L82="",M82=""),"",IFERROR(INDEX('Evaluation table'!$B$4:$F$8,MATCH(TRIM(SUBSTITUTE(L82,"’","'")),'Evaluation table'!$A$4:$A$8,0),MATCH(TRIM(SUBSTITUTE(M82,"’","'")),'Evaluation table'!$B$3:$F$3,0)),"?"))</f>
        <v/>
      </c>
    </row>
    <row r="83">
      <c r="A83" s="2" t="n">
        <v>65</v>
      </c>
      <c r="B83" s="10" t="inlineStr">
        <is>
          <t>I'm neutral</t>
        </is>
      </c>
      <c r="C83" s="10" t="inlineStr">
        <is>
          <t>I dislike it</t>
        </is>
      </c>
      <c r="D83" s="10" t="inlineStr">
        <is>
          <t>I like it</t>
        </is>
      </c>
      <c r="E83" s="10" t="inlineStr">
        <is>
          <t>I dislike it</t>
        </is>
      </c>
      <c r="F83" s="10" t="inlineStr">
        <is>
          <t>I expect it</t>
        </is>
      </c>
      <c r="G83" s="10" t="inlineStr">
        <is>
          <t>I expect it</t>
        </is>
      </c>
      <c r="H83" s="10" t="inlineStr">
        <is>
          <t>I expect it</t>
        </is>
      </c>
      <c r="I83" s="10" t="inlineStr">
        <is>
          <t>I dislike it</t>
        </is>
      </c>
      <c r="J83" s="10" t="inlineStr">
        <is>
          <t>I like it</t>
        </is>
      </c>
      <c r="K83" s="10" t="inlineStr">
        <is>
          <t>I'm neutral</t>
        </is>
      </c>
      <c r="L83" s="10" t="inlineStr">
        <is>
          <t>I'm neutral</t>
        </is>
      </c>
      <c r="M83" s="10" t="inlineStr">
        <is>
          <t>I like it</t>
        </is>
      </c>
      <c r="N83" s="11">
        <f>IF(OR(B83="",C83=""),"",IFERROR(INDEX('Evaluation table'!$B$4:$F$8,MATCH(TRIM(SUBSTITUTE(B83,"’","'")),'Evaluation table'!$A$4:$A$8,0),MATCH(TRIM(SUBSTITUTE(C83,"’","'")),'Evaluation table'!$B$3:$F$3,0)),"?"))</f>
        <v/>
      </c>
      <c r="O83" s="11">
        <f>IF(OR(D83="",E83=""),"",IFERROR(INDEX('Evaluation table'!$B$4:$F$8,MATCH(TRIM(SUBSTITUTE(D83,"’","'")),'Evaluation table'!$A$4:$A$8,0),MATCH(TRIM(SUBSTITUTE(E83,"’","'")),'Evaluation table'!$B$3:$F$3,0)),"?"))</f>
        <v/>
      </c>
      <c r="P83" s="11">
        <f>IF(OR(F83="",G83=""),"",IFERROR(INDEX('Evaluation table'!$B$4:$F$8,MATCH(TRIM(SUBSTITUTE(F83,"’","'")),'Evaluation table'!$A$4:$A$8,0),MATCH(TRIM(SUBSTITUTE(G83,"’","'")),'Evaluation table'!$B$3:$F$3,0)),"?"))</f>
        <v/>
      </c>
      <c r="Q83" s="11">
        <f>IF(OR(H83="",I83=""),"",IFERROR(INDEX('Evaluation table'!$B$4:$F$8,MATCH(TRIM(SUBSTITUTE(H83,"’","'")),'Evaluation table'!$A$4:$A$8,0),MATCH(TRIM(SUBSTITUTE(I83,"’","'")),'Evaluation table'!$B$3:$F$3,0)),"?"))</f>
        <v/>
      </c>
      <c r="R83" s="11">
        <f>IF(OR(J83="",K83=""),"",IFERROR(INDEX('Evaluation table'!$B$4:$F$8,MATCH(TRIM(SUBSTITUTE(J83,"’","'")),'Evaluation table'!$A$4:$A$8,0),MATCH(TRIM(SUBSTITUTE(K83,"’","'")),'Evaluation table'!$B$3:$F$3,0)),"?"))</f>
        <v/>
      </c>
      <c r="S83" s="11">
        <f>IF(OR(L83="",M83=""),"",IFERROR(INDEX('Evaluation table'!$B$4:$F$8,MATCH(TRIM(SUBSTITUTE(L83,"’","'")),'Evaluation table'!$A$4:$A$8,0),MATCH(TRIM(SUBSTITUTE(M83,"’","'")),'Evaluation table'!$B$3:$F$3,0)),"?"))</f>
        <v/>
      </c>
    </row>
    <row r="84">
      <c r="A84" s="2" t="n">
        <v>66</v>
      </c>
      <c r="B84" s="10" t="inlineStr">
        <is>
          <t>I expect it</t>
        </is>
      </c>
      <c r="C84" s="10" t="inlineStr">
        <is>
          <t>I dislike it</t>
        </is>
      </c>
      <c r="D84" s="10" t="inlineStr">
        <is>
          <t>I like it</t>
        </is>
      </c>
      <c r="E84" s="10" t="inlineStr">
        <is>
          <t>I can tolerate it</t>
        </is>
      </c>
      <c r="F84" s="10" t="inlineStr">
        <is>
          <t>I like it</t>
        </is>
      </c>
      <c r="G84" s="10" t="inlineStr">
        <is>
          <t>I'm neutral</t>
        </is>
      </c>
      <c r="H84" s="10" t="inlineStr">
        <is>
          <t>I like it</t>
        </is>
      </c>
      <c r="I84" s="10" t="inlineStr">
        <is>
          <t>I dislike it</t>
        </is>
      </c>
      <c r="J84" s="10" t="inlineStr">
        <is>
          <t>I expect it</t>
        </is>
      </c>
      <c r="K84" s="10" t="inlineStr">
        <is>
          <t>I'm neutral</t>
        </is>
      </c>
      <c r="L84" s="10" t="inlineStr">
        <is>
          <t>I dislike it</t>
        </is>
      </c>
      <c r="M84" s="10" t="inlineStr">
        <is>
          <t>I'm neutral</t>
        </is>
      </c>
      <c r="N84" s="11">
        <f>IF(OR(B84="",C84=""),"",IFERROR(INDEX('Evaluation table'!$B$4:$F$8,MATCH(TRIM(SUBSTITUTE(B84,"’","'")),'Evaluation table'!$A$4:$A$8,0),MATCH(TRIM(SUBSTITUTE(C84,"’","'")),'Evaluation table'!$B$3:$F$3,0)),"?"))</f>
        <v/>
      </c>
      <c r="O84" s="11">
        <f>IF(OR(D84="",E84=""),"",IFERROR(INDEX('Evaluation table'!$B$4:$F$8,MATCH(TRIM(SUBSTITUTE(D84,"’","'")),'Evaluation table'!$A$4:$A$8,0),MATCH(TRIM(SUBSTITUTE(E84,"’","'")),'Evaluation table'!$B$3:$F$3,0)),"?"))</f>
        <v/>
      </c>
      <c r="P84" s="11">
        <f>IF(OR(F84="",G84=""),"",IFERROR(INDEX('Evaluation table'!$B$4:$F$8,MATCH(TRIM(SUBSTITUTE(F84,"’","'")),'Evaluation table'!$A$4:$A$8,0),MATCH(TRIM(SUBSTITUTE(G84,"’","'")),'Evaluation table'!$B$3:$F$3,0)),"?"))</f>
        <v/>
      </c>
      <c r="Q84" s="11">
        <f>IF(OR(H84="",I84=""),"",IFERROR(INDEX('Evaluation table'!$B$4:$F$8,MATCH(TRIM(SUBSTITUTE(H84,"’","'")),'Evaluation table'!$A$4:$A$8,0),MATCH(TRIM(SUBSTITUTE(I84,"’","'")),'Evaluation table'!$B$3:$F$3,0)),"?"))</f>
        <v/>
      </c>
      <c r="R84" s="11">
        <f>IF(OR(J84="",K84=""),"",IFERROR(INDEX('Evaluation table'!$B$4:$F$8,MATCH(TRIM(SUBSTITUTE(J84,"’","'")),'Evaluation table'!$A$4:$A$8,0),MATCH(TRIM(SUBSTITUTE(K84,"’","'")),'Evaluation table'!$B$3:$F$3,0)),"?"))</f>
        <v/>
      </c>
      <c r="S84" s="11">
        <f>IF(OR(L84="",M84=""),"",IFERROR(INDEX('Evaluation table'!$B$4:$F$8,MATCH(TRIM(SUBSTITUTE(L84,"’","'")),'Evaluation table'!$A$4:$A$8,0),MATCH(TRIM(SUBSTITUTE(M84,"’","'")),'Evaluation table'!$B$3:$F$3,0)),"?"))</f>
        <v/>
      </c>
    </row>
    <row r="85">
      <c r="A85" s="2" t="n">
        <v>67</v>
      </c>
      <c r="B85" s="10" t="inlineStr">
        <is>
          <t>I like it</t>
        </is>
      </c>
      <c r="C85" s="10" t="inlineStr">
        <is>
          <t>I dislike it</t>
        </is>
      </c>
      <c r="D85" s="10" t="inlineStr">
        <is>
          <t>I like it</t>
        </is>
      </c>
      <c r="E85" s="10" t="inlineStr">
        <is>
          <t>I dislike it</t>
        </is>
      </c>
      <c r="F85" s="10" t="inlineStr">
        <is>
          <t>I like it</t>
        </is>
      </c>
      <c r="G85" s="10" t="inlineStr">
        <is>
          <t>I dislike it</t>
        </is>
      </c>
      <c r="H85" s="10" t="inlineStr">
        <is>
          <t>I'm neutral</t>
        </is>
      </c>
      <c r="I85" s="10" t="inlineStr">
        <is>
          <t>I can tolerate it</t>
        </is>
      </c>
      <c r="J85" s="10" t="inlineStr">
        <is>
          <t>I'm neutral</t>
        </is>
      </c>
      <c r="K85" s="10" t="inlineStr">
        <is>
          <t>I'm neutral</t>
        </is>
      </c>
      <c r="L85" s="10" t="inlineStr">
        <is>
          <t>I like it</t>
        </is>
      </c>
      <c r="M85" s="10" t="inlineStr">
        <is>
          <t>I'm neutral</t>
        </is>
      </c>
      <c r="N85" s="11">
        <f>IF(OR(B85="",C85=""),"",IFERROR(INDEX('Evaluation table'!$B$4:$F$8,MATCH(TRIM(SUBSTITUTE(B85,"’","'")),'Evaluation table'!$A$4:$A$8,0),MATCH(TRIM(SUBSTITUTE(C85,"’","'")),'Evaluation table'!$B$3:$F$3,0)),"?"))</f>
        <v/>
      </c>
      <c r="O85" s="11">
        <f>IF(OR(D85="",E85=""),"",IFERROR(INDEX('Evaluation table'!$B$4:$F$8,MATCH(TRIM(SUBSTITUTE(D85,"’","'")),'Evaluation table'!$A$4:$A$8,0),MATCH(TRIM(SUBSTITUTE(E85,"’","'")),'Evaluation table'!$B$3:$F$3,0)),"?"))</f>
        <v/>
      </c>
      <c r="P85" s="11">
        <f>IF(OR(F85="",G85=""),"",IFERROR(INDEX('Evaluation table'!$B$4:$F$8,MATCH(TRIM(SUBSTITUTE(F85,"’","'")),'Evaluation table'!$A$4:$A$8,0),MATCH(TRIM(SUBSTITUTE(G85,"’","'")),'Evaluation table'!$B$3:$F$3,0)),"?"))</f>
        <v/>
      </c>
      <c r="Q85" s="11">
        <f>IF(OR(H85="",I85=""),"",IFERROR(INDEX('Evaluation table'!$B$4:$F$8,MATCH(TRIM(SUBSTITUTE(H85,"’","'")),'Evaluation table'!$A$4:$A$8,0),MATCH(TRIM(SUBSTITUTE(I85,"’","'")),'Evaluation table'!$B$3:$F$3,0)),"?"))</f>
        <v/>
      </c>
      <c r="R85" s="11">
        <f>IF(OR(J85="",K85=""),"",IFERROR(INDEX('Evaluation table'!$B$4:$F$8,MATCH(TRIM(SUBSTITUTE(J85,"’","'")),'Evaluation table'!$A$4:$A$8,0),MATCH(TRIM(SUBSTITUTE(K85,"’","'")),'Evaluation table'!$B$3:$F$3,0)),"?"))</f>
        <v/>
      </c>
      <c r="S85" s="11">
        <f>IF(OR(L85="",M85=""),"",IFERROR(INDEX('Evaluation table'!$B$4:$F$8,MATCH(TRIM(SUBSTITUTE(L85,"’","'")),'Evaluation table'!$A$4:$A$8,0),MATCH(TRIM(SUBSTITUTE(M85,"’","'")),'Evaluation table'!$B$3:$F$3,0)),"?"))</f>
        <v/>
      </c>
    </row>
    <row r="86">
      <c r="A86" s="2" t="n">
        <v>68</v>
      </c>
      <c r="B86" s="10" t="inlineStr">
        <is>
          <t>I can tolerate it</t>
        </is>
      </c>
      <c r="C86" s="10" t="inlineStr">
        <is>
          <t>I dislike it</t>
        </is>
      </c>
      <c r="D86" s="10" t="inlineStr">
        <is>
          <t>I'm neutral</t>
        </is>
      </c>
      <c r="E86" s="10" t="inlineStr">
        <is>
          <t>I'm neutral</t>
        </is>
      </c>
      <c r="F86" s="10" t="inlineStr">
        <is>
          <t>I'm neutral</t>
        </is>
      </c>
      <c r="G86" s="10" t="inlineStr">
        <is>
          <t>I'm neutral</t>
        </is>
      </c>
      <c r="H86" s="10" t="inlineStr">
        <is>
          <t>I like it</t>
        </is>
      </c>
      <c r="I86" s="10" t="inlineStr">
        <is>
          <t>I expect it</t>
        </is>
      </c>
      <c r="J86" s="10" t="inlineStr">
        <is>
          <t>I like it</t>
        </is>
      </c>
      <c r="K86" s="10" t="inlineStr">
        <is>
          <t>I can tolerate it</t>
        </is>
      </c>
      <c r="L86" s="10" t="inlineStr">
        <is>
          <t>I like it</t>
        </is>
      </c>
      <c r="M86" s="10" t="inlineStr">
        <is>
          <t>I can tolerate it</t>
        </is>
      </c>
      <c r="N86" s="11">
        <f>IF(OR(B86="",C86=""),"",IFERROR(INDEX('Evaluation table'!$B$4:$F$8,MATCH(TRIM(SUBSTITUTE(B86,"’","'")),'Evaluation table'!$A$4:$A$8,0),MATCH(TRIM(SUBSTITUTE(C86,"’","'")),'Evaluation table'!$B$3:$F$3,0)),"?"))</f>
        <v/>
      </c>
      <c r="O86" s="11">
        <f>IF(OR(D86="",E86=""),"",IFERROR(INDEX('Evaluation table'!$B$4:$F$8,MATCH(TRIM(SUBSTITUTE(D86,"’","'")),'Evaluation table'!$A$4:$A$8,0),MATCH(TRIM(SUBSTITUTE(E86,"’","'")),'Evaluation table'!$B$3:$F$3,0)),"?"))</f>
        <v/>
      </c>
      <c r="P86" s="11">
        <f>IF(OR(F86="",G86=""),"",IFERROR(INDEX('Evaluation table'!$B$4:$F$8,MATCH(TRIM(SUBSTITUTE(F86,"’","'")),'Evaluation table'!$A$4:$A$8,0),MATCH(TRIM(SUBSTITUTE(G86,"’","'")),'Evaluation table'!$B$3:$F$3,0)),"?"))</f>
        <v/>
      </c>
      <c r="Q86" s="11">
        <f>IF(OR(H86="",I86=""),"",IFERROR(INDEX('Evaluation table'!$B$4:$F$8,MATCH(TRIM(SUBSTITUTE(H86,"’","'")),'Evaluation table'!$A$4:$A$8,0),MATCH(TRIM(SUBSTITUTE(I86,"’","'")),'Evaluation table'!$B$3:$F$3,0)),"?"))</f>
        <v/>
      </c>
      <c r="R86" s="11">
        <f>IF(OR(J86="",K86=""),"",IFERROR(INDEX('Evaluation table'!$B$4:$F$8,MATCH(TRIM(SUBSTITUTE(J86,"’","'")),'Evaluation table'!$A$4:$A$8,0),MATCH(TRIM(SUBSTITUTE(K86,"’","'")),'Evaluation table'!$B$3:$F$3,0)),"?"))</f>
        <v/>
      </c>
      <c r="S86" s="11">
        <f>IF(OR(L86="",M86=""),"",IFERROR(INDEX('Evaluation table'!$B$4:$F$8,MATCH(TRIM(SUBSTITUTE(L86,"’","'")),'Evaluation table'!$A$4:$A$8,0),MATCH(TRIM(SUBSTITUTE(M86,"’","'")),'Evaluation table'!$B$3:$F$3,0)),"?"))</f>
        <v/>
      </c>
    </row>
    <row r="87">
      <c r="A87" s="2" t="n">
        <v>69</v>
      </c>
      <c r="B87" s="10" t="inlineStr">
        <is>
          <t>I expect it</t>
        </is>
      </c>
      <c r="C87" s="10" t="inlineStr">
        <is>
          <t>I dislike it</t>
        </is>
      </c>
      <c r="D87" s="10" t="inlineStr">
        <is>
          <t>I like it</t>
        </is>
      </c>
      <c r="E87" s="10" t="inlineStr">
        <is>
          <t>I dislike it</t>
        </is>
      </c>
      <c r="F87" s="10" t="inlineStr">
        <is>
          <t>I'm neutral</t>
        </is>
      </c>
      <c r="G87" s="10" t="inlineStr">
        <is>
          <t>I like it</t>
        </is>
      </c>
      <c r="H87" s="10" t="inlineStr">
        <is>
          <t>I'm neutral</t>
        </is>
      </c>
      <c r="I87" s="10" t="inlineStr">
        <is>
          <t>I'm neutral</t>
        </is>
      </c>
      <c r="J87" s="10" t="inlineStr">
        <is>
          <t>I can tolerate it</t>
        </is>
      </c>
      <c r="K87" s="10" t="inlineStr">
        <is>
          <t>I'm neutral</t>
        </is>
      </c>
      <c r="L87" s="10" t="inlineStr">
        <is>
          <t>I dislike it</t>
        </is>
      </c>
      <c r="M87" s="10" t="inlineStr">
        <is>
          <t>I can tolerate it</t>
        </is>
      </c>
      <c r="N87" s="11">
        <f>IF(OR(B87="",C87=""),"",IFERROR(INDEX('Evaluation table'!$B$4:$F$8,MATCH(TRIM(SUBSTITUTE(B87,"’","'")),'Evaluation table'!$A$4:$A$8,0),MATCH(TRIM(SUBSTITUTE(C87,"’","'")),'Evaluation table'!$B$3:$F$3,0)),"?"))</f>
        <v/>
      </c>
      <c r="O87" s="11">
        <f>IF(OR(D87="",E87=""),"",IFERROR(INDEX('Evaluation table'!$B$4:$F$8,MATCH(TRIM(SUBSTITUTE(D87,"’","'")),'Evaluation table'!$A$4:$A$8,0),MATCH(TRIM(SUBSTITUTE(E87,"’","'")),'Evaluation table'!$B$3:$F$3,0)),"?"))</f>
        <v/>
      </c>
      <c r="P87" s="11">
        <f>IF(OR(F87="",G87=""),"",IFERROR(INDEX('Evaluation table'!$B$4:$F$8,MATCH(TRIM(SUBSTITUTE(F87,"’","'")),'Evaluation table'!$A$4:$A$8,0),MATCH(TRIM(SUBSTITUTE(G87,"’","'")),'Evaluation table'!$B$3:$F$3,0)),"?"))</f>
        <v/>
      </c>
      <c r="Q87" s="11">
        <f>IF(OR(H87="",I87=""),"",IFERROR(INDEX('Evaluation table'!$B$4:$F$8,MATCH(TRIM(SUBSTITUTE(H87,"’","'")),'Evaluation table'!$A$4:$A$8,0),MATCH(TRIM(SUBSTITUTE(I87,"’","'")),'Evaluation table'!$B$3:$F$3,0)),"?"))</f>
        <v/>
      </c>
      <c r="R87" s="11">
        <f>IF(OR(J87="",K87=""),"",IFERROR(INDEX('Evaluation table'!$B$4:$F$8,MATCH(TRIM(SUBSTITUTE(J87,"’","'")),'Evaluation table'!$A$4:$A$8,0),MATCH(TRIM(SUBSTITUTE(K87,"’","'")),'Evaluation table'!$B$3:$F$3,0)),"?"))</f>
        <v/>
      </c>
      <c r="S87" s="11">
        <f>IF(OR(L87="",M87=""),"",IFERROR(INDEX('Evaluation table'!$B$4:$F$8,MATCH(TRIM(SUBSTITUTE(L87,"’","'")),'Evaluation table'!$A$4:$A$8,0),MATCH(TRIM(SUBSTITUTE(M87,"’","'")),'Evaluation table'!$B$3:$F$3,0)),"?"))</f>
        <v/>
      </c>
    </row>
    <row r="88">
      <c r="A88" s="2" t="n">
        <v>70</v>
      </c>
      <c r="B88" s="10" t="inlineStr">
        <is>
          <t>I can tolerate it</t>
        </is>
      </c>
      <c r="C88" s="10" t="inlineStr">
        <is>
          <t>I dislike it</t>
        </is>
      </c>
      <c r="D88" s="10" t="inlineStr">
        <is>
          <t>I'm neutral</t>
        </is>
      </c>
      <c r="E88" s="10" t="inlineStr">
        <is>
          <t>I dislike it</t>
        </is>
      </c>
      <c r="F88" s="10" t="inlineStr">
        <is>
          <t>I like it</t>
        </is>
      </c>
      <c r="G88" s="10" t="inlineStr">
        <is>
          <t>I expect it</t>
        </is>
      </c>
      <c r="H88" s="10" t="inlineStr">
        <is>
          <t>I like it</t>
        </is>
      </c>
      <c r="I88" s="10" t="inlineStr">
        <is>
          <t>I dislike it</t>
        </is>
      </c>
      <c r="J88" s="10" t="inlineStr">
        <is>
          <t>I like it</t>
        </is>
      </c>
      <c r="K88" s="10" t="inlineStr">
        <is>
          <t>I'm neutral</t>
        </is>
      </c>
      <c r="L88" s="10" t="inlineStr">
        <is>
          <t>I'm neutral</t>
        </is>
      </c>
      <c r="M88" s="10" t="inlineStr">
        <is>
          <t>I'm neutral</t>
        </is>
      </c>
      <c r="N88" s="11">
        <f>IF(OR(B88="",C88=""),"",IFERROR(INDEX('Evaluation table'!$B$4:$F$8,MATCH(TRIM(SUBSTITUTE(B88,"’","'")),'Evaluation table'!$A$4:$A$8,0),MATCH(TRIM(SUBSTITUTE(C88,"’","'")),'Evaluation table'!$B$3:$F$3,0)),"?"))</f>
        <v/>
      </c>
      <c r="O88" s="11">
        <f>IF(OR(D88="",E88=""),"",IFERROR(INDEX('Evaluation table'!$B$4:$F$8,MATCH(TRIM(SUBSTITUTE(D88,"’","'")),'Evaluation table'!$A$4:$A$8,0),MATCH(TRIM(SUBSTITUTE(E88,"’","'")),'Evaluation table'!$B$3:$F$3,0)),"?"))</f>
        <v/>
      </c>
      <c r="P88" s="11">
        <f>IF(OR(F88="",G88=""),"",IFERROR(INDEX('Evaluation table'!$B$4:$F$8,MATCH(TRIM(SUBSTITUTE(F88,"’","'")),'Evaluation table'!$A$4:$A$8,0),MATCH(TRIM(SUBSTITUTE(G88,"’","'")),'Evaluation table'!$B$3:$F$3,0)),"?"))</f>
        <v/>
      </c>
      <c r="Q88" s="11">
        <f>IF(OR(H88="",I88=""),"",IFERROR(INDEX('Evaluation table'!$B$4:$F$8,MATCH(TRIM(SUBSTITUTE(H88,"’","'")),'Evaluation table'!$A$4:$A$8,0),MATCH(TRIM(SUBSTITUTE(I88,"’","'")),'Evaluation table'!$B$3:$F$3,0)),"?"))</f>
        <v/>
      </c>
      <c r="R88" s="11">
        <f>IF(OR(J88="",K88=""),"",IFERROR(INDEX('Evaluation table'!$B$4:$F$8,MATCH(TRIM(SUBSTITUTE(J88,"’","'")),'Evaluation table'!$A$4:$A$8,0),MATCH(TRIM(SUBSTITUTE(K88,"’","'")),'Evaluation table'!$B$3:$F$3,0)),"?"))</f>
        <v/>
      </c>
      <c r="S88" s="11">
        <f>IF(OR(L88="",M88=""),"",IFERROR(INDEX('Evaluation table'!$B$4:$F$8,MATCH(TRIM(SUBSTITUTE(L88,"’","'")),'Evaluation table'!$A$4:$A$8,0),MATCH(TRIM(SUBSTITUTE(M88,"’","'")),'Evaluation table'!$B$3:$F$3,0)),"?"))</f>
        <v/>
      </c>
    </row>
    <row r="89">
      <c r="A89" s="2" t="n">
        <v>71</v>
      </c>
      <c r="B89" s="10" t="inlineStr">
        <is>
          <t>I can tolerate it</t>
        </is>
      </c>
      <c r="C89" s="10" t="inlineStr">
        <is>
          <t>I dislike it</t>
        </is>
      </c>
      <c r="D89" s="10" t="inlineStr">
        <is>
          <t>I like it</t>
        </is>
      </c>
      <c r="E89" s="10" t="inlineStr">
        <is>
          <t>I'm neutral</t>
        </is>
      </c>
      <c r="F89" s="10" t="inlineStr">
        <is>
          <t>I like it</t>
        </is>
      </c>
      <c r="G89" s="10" t="inlineStr">
        <is>
          <t>I dislike it</t>
        </is>
      </c>
      <c r="H89" s="10" t="inlineStr">
        <is>
          <t>I like it</t>
        </is>
      </c>
      <c r="I89" s="10" t="inlineStr">
        <is>
          <t>I'm neutral</t>
        </is>
      </c>
      <c r="J89" s="10" t="inlineStr">
        <is>
          <t>I'm neutral</t>
        </is>
      </c>
      <c r="K89" s="10" t="inlineStr">
        <is>
          <t>I'm neutral</t>
        </is>
      </c>
      <c r="L89" s="10" t="inlineStr">
        <is>
          <t>I'm neutral</t>
        </is>
      </c>
      <c r="M89" s="10" t="inlineStr">
        <is>
          <t>I'm neutral</t>
        </is>
      </c>
      <c r="N89" s="11">
        <f>IF(OR(B89="",C89=""),"",IFERROR(INDEX('Evaluation table'!$B$4:$F$8,MATCH(TRIM(SUBSTITUTE(B89,"’","'")),'Evaluation table'!$A$4:$A$8,0),MATCH(TRIM(SUBSTITUTE(C89,"’","'")),'Evaluation table'!$B$3:$F$3,0)),"?"))</f>
        <v/>
      </c>
      <c r="O89" s="11">
        <f>IF(OR(D89="",E89=""),"",IFERROR(INDEX('Evaluation table'!$B$4:$F$8,MATCH(TRIM(SUBSTITUTE(D89,"’","'")),'Evaluation table'!$A$4:$A$8,0),MATCH(TRIM(SUBSTITUTE(E89,"’","'")),'Evaluation table'!$B$3:$F$3,0)),"?"))</f>
        <v/>
      </c>
      <c r="P89" s="11">
        <f>IF(OR(F89="",G89=""),"",IFERROR(INDEX('Evaluation table'!$B$4:$F$8,MATCH(TRIM(SUBSTITUTE(F89,"’","'")),'Evaluation table'!$A$4:$A$8,0),MATCH(TRIM(SUBSTITUTE(G89,"’","'")),'Evaluation table'!$B$3:$F$3,0)),"?"))</f>
        <v/>
      </c>
      <c r="Q89" s="11">
        <f>IF(OR(H89="",I89=""),"",IFERROR(INDEX('Evaluation table'!$B$4:$F$8,MATCH(TRIM(SUBSTITUTE(H89,"’","'")),'Evaluation table'!$A$4:$A$8,0),MATCH(TRIM(SUBSTITUTE(I89,"’","'")),'Evaluation table'!$B$3:$F$3,0)),"?"))</f>
        <v/>
      </c>
      <c r="R89" s="11">
        <f>IF(OR(J89="",K89=""),"",IFERROR(INDEX('Evaluation table'!$B$4:$F$8,MATCH(TRIM(SUBSTITUTE(J89,"’","'")),'Evaluation table'!$A$4:$A$8,0),MATCH(TRIM(SUBSTITUTE(K89,"’","'")),'Evaluation table'!$B$3:$F$3,0)),"?"))</f>
        <v/>
      </c>
      <c r="S89" s="11">
        <f>IF(OR(L89="",M89=""),"",IFERROR(INDEX('Evaluation table'!$B$4:$F$8,MATCH(TRIM(SUBSTITUTE(L89,"’","'")),'Evaluation table'!$A$4:$A$8,0),MATCH(TRIM(SUBSTITUTE(M89,"’","'")),'Evaluation table'!$B$3:$F$3,0)),"?"))</f>
        <v/>
      </c>
    </row>
    <row r="90">
      <c r="A90" s="2" t="n">
        <v>72</v>
      </c>
      <c r="B90" s="10" t="inlineStr">
        <is>
          <t>I like it</t>
        </is>
      </c>
      <c r="C90" s="10" t="inlineStr">
        <is>
          <t>I dislike it</t>
        </is>
      </c>
      <c r="D90" s="10" t="inlineStr">
        <is>
          <t>I like it</t>
        </is>
      </c>
      <c r="E90" s="10" t="inlineStr">
        <is>
          <t>I'm neutral</t>
        </is>
      </c>
      <c r="F90" s="10" t="inlineStr">
        <is>
          <t>I like it</t>
        </is>
      </c>
      <c r="G90" s="10" t="inlineStr">
        <is>
          <t>I'm neutral</t>
        </is>
      </c>
      <c r="H90" s="10" t="inlineStr">
        <is>
          <t>I can tolerate it</t>
        </is>
      </c>
      <c r="I90" s="10" t="inlineStr">
        <is>
          <t>I can tolerate it</t>
        </is>
      </c>
      <c r="J90" s="10" t="inlineStr">
        <is>
          <t>I'm neutral</t>
        </is>
      </c>
      <c r="K90" s="10" t="inlineStr">
        <is>
          <t>I can tolerate it</t>
        </is>
      </c>
      <c r="L90" s="10" t="inlineStr">
        <is>
          <t>I expect it</t>
        </is>
      </c>
      <c r="M90" s="10" t="inlineStr">
        <is>
          <t>I dislike it</t>
        </is>
      </c>
      <c r="N90" s="11">
        <f>IF(OR(B90="",C90=""),"",IFERROR(INDEX('Evaluation table'!$B$4:$F$8,MATCH(TRIM(SUBSTITUTE(B90,"’","'")),'Evaluation table'!$A$4:$A$8,0),MATCH(TRIM(SUBSTITUTE(C90,"’","'")),'Evaluation table'!$B$3:$F$3,0)),"?"))</f>
        <v/>
      </c>
      <c r="O90" s="11">
        <f>IF(OR(D90="",E90=""),"",IFERROR(INDEX('Evaluation table'!$B$4:$F$8,MATCH(TRIM(SUBSTITUTE(D90,"’","'")),'Evaluation table'!$A$4:$A$8,0),MATCH(TRIM(SUBSTITUTE(E90,"’","'")),'Evaluation table'!$B$3:$F$3,0)),"?"))</f>
        <v/>
      </c>
      <c r="P90" s="11">
        <f>IF(OR(F90="",G90=""),"",IFERROR(INDEX('Evaluation table'!$B$4:$F$8,MATCH(TRIM(SUBSTITUTE(F90,"’","'")),'Evaluation table'!$A$4:$A$8,0),MATCH(TRIM(SUBSTITUTE(G90,"’","'")),'Evaluation table'!$B$3:$F$3,0)),"?"))</f>
        <v/>
      </c>
      <c r="Q90" s="11">
        <f>IF(OR(H90="",I90=""),"",IFERROR(INDEX('Evaluation table'!$B$4:$F$8,MATCH(TRIM(SUBSTITUTE(H90,"’","'")),'Evaluation table'!$A$4:$A$8,0),MATCH(TRIM(SUBSTITUTE(I90,"’","'")),'Evaluation table'!$B$3:$F$3,0)),"?"))</f>
        <v/>
      </c>
      <c r="R90" s="11">
        <f>IF(OR(J90="",K90=""),"",IFERROR(INDEX('Evaluation table'!$B$4:$F$8,MATCH(TRIM(SUBSTITUTE(J90,"’","'")),'Evaluation table'!$A$4:$A$8,0),MATCH(TRIM(SUBSTITUTE(K90,"’","'")),'Evaluation table'!$B$3:$F$3,0)),"?"))</f>
        <v/>
      </c>
      <c r="S90" s="11">
        <f>IF(OR(L90="",M90=""),"",IFERROR(INDEX('Evaluation table'!$B$4:$F$8,MATCH(TRIM(SUBSTITUTE(L90,"’","'")),'Evaluation table'!$A$4:$A$8,0),MATCH(TRIM(SUBSTITUTE(M90,"’","'")),'Evaluation table'!$B$3:$F$3,0)),"?"))</f>
        <v/>
      </c>
    </row>
    <row r="91">
      <c r="A91" s="2" t="n">
        <v>73</v>
      </c>
      <c r="B91" s="10" t="inlineStr">
        <is>
          <t>I'm neutral</t>
        </is>
      </c>
      <c r="C91" s="10" t="inlineStr">
        <is>
          <t>I dislike it</t>
        </is>
      </c>
      <c r="D91" s="10" t="inlineStr">
        <is>
          <t>I like it</t>
        </is>
      </c>
      <c r="E91" s="10" t="inlineStr">
        <is>
          <t>I'm neutral</t>
        </is>
      </c>
      <c r="F91" s="10" t="inlineStr">
        <is>
          <t>I like it</t>
        </is>
      </c>
      <c r="G91" s="10" t="inlineStr">
        <is>
          <t>I dislike it</t>
        </is>
      </c>
      <c r="H91" s="10" t="inlineStr">
        <is>
          <t>I like it</t>
        </is>
      </c>
      <c r="I91" s="10" t="inlineStr">
        <is>
          <t>I dislike it</t>
        </is>
      </c>
      <c r="J91" s="10" t="inlineStr">
        <is>
          <t>I like it</t>
        </is>
      </c>
      <c r="K91" s="10" t="inlineStr">
        <is>
          <t>I dislike it</t>
        </is>
      </c>
      <c r="L91" s="10" t="inlineStr">
        <is>
          <t>I'm neutral</t>
        </is>
      </c>
      <c r="M91" s="10" t="inlineStr">
        <is>
          <t>I can tolerate it</t>
        </is>
      </c>
      <c r="N91" s="11">
        <f>IF(OR(B91="",C91=""),"",IFERROR(INDEX('Evaluation table'!$B$4:$F$8,MATCH(TRIM(SUBSTITUTE(B91,"’","'")),'Evaluation table'!$A$4:$A$8,0),MATCH(TRIM(SUBSTITUTE(C91,"’","'")),'Evaluation table'!$B$3:$F$3,0)),"?"))</f>
        <v/>
      </c>
      <c r="O91" s="11">
        <f>IF(OR(D91="",E91=""),"",IFERROR(INDEX('Evaluation table'!$B$4:$F$8,MATCH(TRIM(SUBSTITUTE(D91,"’","'")),'Evaluation table'!$A$4:$A$8,0),MATCH(TRIM(SUBSTITUTE(E91,"’","'")),'Evaluation table'!$B$3:$F$3,0)),"?"))</f>
        <v/>
      </c>
      <c r="P91" s="11">
        <f>IF(OR(F91="",G91=""),"",IFERROR(INDEX('Evaluation table'!$B$4:$F$8,MATCH(TRIM(SUBSTITUTE(F91,"’","'")),'Evaluation table'!$A$4:$A$8,0),MATCH(TRIM(SUBSTITUTE(G91,"’","'")),'Evaluation table'!$B$3:$F$3,0)),"?"))</f>
        <v/>
      </c>
      <c r="Q91" s="11">
        <f>IF(OR(H91="",I91=""),"",IFERROR(INDEX('Evaluation table'!$B$4:$F$8,MATCH(TRIM(SUBSTITUTE(H91,"’","'")),'Evaluation table'!$A$4:$A$8,0),MATCH(TRIM(SUBSTITUTE(I91,"’","'")),'Evaluation table'!$B$3:$F$3,0)),"?"))</f>
        <v/>
      </c>
      <c r="R91" s="11">
        <f>IF(OR(J91="",K91=""),"",IFERROR(INDEX('Evaluation table'!$B$4:$F$8,MATCH(TRIM(SUBSTITUTE(J91,"’","'")),'Evaluation table'!$A$4:$A$8,0),MATCH(TRIM(SUBSTITUTE(K91,"’","'")),'Evaluation table'!$B$3:$F$3,0)),"?"))</f>
        <v/>
      </c>
      <c r="S91" s="11">
        <f>IF(OR(L91="",M91=""),"",IFERROR(INDEX('Evaluation table'!$B$4:$F$8,MATCH(TRIM(SUBSTITUTE(L91,"’","'")),'Evaluation table'!$A$4:$A$8,0),MATCH(TRIM(SUBSTITUTE(M91,"’","'")),'Evaluation table'!$B$3:$F$3,0)),"?"))</f>
        <v/>
      </c>
    </row>
    <row r="92">
      <c r="A92" s="2" t="n">
        <v>74</v>
      </c>
      <c r="B92" s="10" t="inlineStr">
        <is>
          <t>I'm neutral</t>
        </is>
      </c>
      <c r="C92" s="10" t="inlineStr">
        <is>
          <t>I dislike it</t>
        </is>
      </c>
      <c r="D92" s="10" t="inlineStr">
        <is>
          <t>I can tolerate it</t>
        </is>
      </c>
      <c r="E92" s="10" t="inlineStr">
        <is>
          <t>I can tolerate it</t>
        </is>
      </c>
      <c r="F92" s="10" t="inlineStr">
        <is>
          <t>I'm neutral</t>
        </is>
      </c>
      <c r="G92" s="10" t="inlineStr">
        <is>
          <t>I'm neutral</t>
        </is>
      </c>
      <c r="H92" s="10" t="inlineStr">
        <is>
          <t>I expect it</t>
        </is>
      </c>
      <c r="I92" s="10" t="inlineStr">
        <is>
          <t>I dislike it</t>
        </is>
      </c>
      <c r="J92" s="10" t="inlineStr">
        <is>
          <t>I'm neutral</t>
        </is>
      </c>
      <c r="K92" s="10" t="inlineStr">
        <is>
          <t>I'm neutral</t>
        </is>
      </c>
      <c r="L92" s="10" t="inlineStr">
        <is>
          <t>I dislike it</t>
        </is>
      </c>
      <c r="M92" s="10" t="inlineStr">
        <is>
          <t>I'm neutral</t>
        </is>
      </c>
      <c r="N92" s="11">
        <f>IF(OR(B92="",C92=""),"",IFERROR(INDEX('Evaluation table'!$B$4:$F$8,MATCH(TRIM(SUBSTITUTE(B92,"’","'")),'Evaluation table'!$A$4:$A$8,0),MATCH(TRIM(SUBSTITUTE(C92,"’","'")),'Evaluation table'!$B$3:$F$3,0)),"?"))</f>
        <v/>
      </c>
      <c r="O92" s="11">
        <f>IF(OR(D92="",E92=""),"",IFERROR(INDEX('Evaluation table'!$B$4:$F$8,MATCH(TRIM(SUBSTITUTE(D92,"’","'")),'Evaluation table'!$A$4:$A$8,0),MATCH(TRIM(SUBSTITUTE(E92,"’","'")),'Evaluation table'!$B$3:$F$3,0)),"?"))</f>
        <v/>
      </c>
      <c r="P92" s="11">
        <f>IF(OR(F92="",G92=""),"",IFERROR(INDEX('Evaluation table'!$B$4:$F$8,MATCH(TRIM(SUBSTITUTE(F92,"’","'")),'Evaluation table'!$A$4:$A$8,0),MATCH(TRIM(SUBSTITUTE(G92,"’","'")),'Evaluation table'!$B$3:$F$3,0)),"?"))</f>
        <v/>
      </c>
      <c r="Q92" s="11">
        <f>IF(OR(H92="",I92=""),"",IFERROR(INDEX('Evaluation table'!$B$4:$F$8,MATCH(TRIM(SUBSTITUTE(H92,"’","'")),'Evaluation table'!$A$4:$A$8,0),MATCH(TRIM(SUBSTITUTE(I92,"’","'")),'Evaluation table'!$B$3:$F$3,0)),"?"))</f>
        <v/>
      </c>
      <c r="R92" s="11">
        <f>IF(OR(J92="",K92=""),"",IFERROR(INDEX('Evaluation table'!$B$4:$F$8,MATCH(TRIM(SUBSTITUTE(J92,"’","'")),'Evaluation table'!$A$4:$A$8,0),MATCH(TRIM(SUBSTITUTE(K92,"’","'")),'Evaluation table'!$B$3:$F$3,0)),"?"))</f>
        <v/>
      </c>
      <c r="S92" s="11">
        <f>IF(OR(L92="",M92=""),"",IFERROR(INDEX('Evaluation table'!$B$4:$F$8,MATCH(TRIM(SUBSTITUTE(L92,"’","'")),'Evaluation table'!$A$4:$A$8,0),MATCH(TRIM(SUBSTITUTE(M92,"’","'")),'Evaluation table'!$B$3:$F$3,0)),"?"))</f>
        <v/>
      </c>
    </row>
    <row r="93">
      <c r="A93" s="2" t="n">
        <v>75</v>
      </c>
      <c r="B93" s="10" t="inlineStr">
        <is>
          <t>I like it</t>
        </is>
      </c>
      <c r="C93" s="10" t="inlineStr">
        <is>
          <t>I dislike it</t>
        </is>
      </c>
      <c r="D93" s="10" t="inlineStr">
        <is>
          <t>I'm neutral</t>
        </is>
      </c>
      <c r="E93" s="10" t="inlineStr">
        <is>
          <t>I'm neutral</t>
        </is>
      </c>
      <c r="F93" s="10" t="inlineStr">
        <is>
          <t>I like it</t>
        </is>
      </c>
      <c r="G93" s="10" t="inlineStr">
        <is>
          <t>I dislike it</t>
        </is>
      </c>
      <c r="H93" s="10" t="inlineStr">
        <is>
          <t>I like it</t>
        </is>
      </c>
      <c r="I93" s="10" t="inlineStr">
        <is>
          <t>I can tolerate it</t>
        </is>
      </c>
      <c r="J93" s="10" t="inlineStr">
        <is>
          <t>I like it</t>
        </is>
      </c>
      <c r="K93" s="10" t="inlineStr">
        <is>
          <t>I'm neutral</t>
        </is>
      </c>
      <c r="L93" s="10" t="inlineStr">
        <is>
          <t>I can tolerate it</t>
        </is>
      </c>
      <c r="M93" s="10" t="inlineStr">
        <is>
          <t>I'm neutral</t>
        </is>
      </c>
      <c r="N93" s="11">
        <f>IF(OR(B93="",C93=""),"",IFERROR(INDEX('Evaluation table'!$B$4:$F$8,MATCH(TRIM(SUBSTITUTE(B93,"’","'")),'Evaluation table'!$A$4:$A$8,0),MATCH(TRIM(SUBSTITUTE(C93,"’","'")),'Evaluation table'!$B$3:$F$3,0)),"?"))</f>
        <v/>
      </c>
      <c r="O93" s="11">
        <f>IF(OR(D93="",E93=""),"",IFERROR(INDEX('Evaluation table'!$B$4:$F$8,MATCH(TRIM(SUBSTITUTE(D93,"’","'")),'Evaluation table'!$A$4:$A$8,0),MATCH(TRIM(SUBSTITUTE(E93,"’","'")),'Evaluation table'!$B$3:$F$3,0)),"?"))</f>
        <v/>
      </c>
      <c r="P93" s="11">
        <f>IF(OR(F93="",G93=""),"",IFERROR(INDEX('Evaluation table'!$B$4:$F$8,MATCH(TRIM(SUBSTITUTE(F93,"’","'")),'Evaluation table'!$A$4:$A$8,0),MATCH(TRIM(SUBSTITUTE(G93,"’","'")),'Evaluation table'!$B$3:$F$3,0)),"?"))</f>
        <v/>
      </c>
      <c r="Q93" s="11">
        <f>IF(OR(H93="",I93=""),"",IFERROR(INDEX('Evaluation table'!$B$4:$F$8,MATCH(TRIM(SUBSTITUTE(H93,"’","'")),'Evaluation table'!$A$4:$A$8,0),MATCH(TRIM(SUBSTITUTE(I93,"’","'")),'Evaluation table'!$B$3:$F$3,0)),"?"))</f>
        <v/>
      </c>
      <c r="R93" s="11">
        <f>IF(OR(J93="",K93=""),"",IFERROR(INDEX('Evaluation table'!$B$4:$F$8,MATCH(TRIM(SUBSTITUTE(J93,"’","'")),'Evaluation table'!$A$4:$A$8,0),MATCH(TRIM(SUBSTITUTE(K93,"’","'")),'Evaluation table'!$B$3:$F$3,0)),"?"))</f>
        <v/>
      </c>
      <c r="S93" s="11">
        <f>IF(OR(L93="",M93=""),"",IFERROR(INDEX('Evaluation table'!$B$4:$F$8,MATCH(TRIM(SUBSTITUTE(L93,"’","'")),'Evaluation table'!$A$4:$A$8,0),MATCH(TRIM(SUBSTITUTE(M93,"’","'")),'Evaluation table'!$B$3:$F$3,0)),"?"))</f>
        <v/>
      </c>
    </row>
    <row r="94">
      <c r="A94" s="2" t="n">
        <v>76</v>
      </c>
      <c r="B94" s="10" t="inlineStr">
        <is>
          <t>I expect it</t>
        </is>
      </c>
      <c r="C94" s="10" t="inlineStr">
        <is>
          <t>I dislike it</t>
        </is>
      </c>
      <c r="D94" s="10" t="inlineStr">
        <is>
          <t>I like it</t>
        </is>
      </c>
      <c r="E94" s="10" t="inlineStr">
        <is>
          <t>I dislike it</t>
        </is>
      </c>
      <c r="F94" s="10" t="inlineStr">
        <is>
          <t>I'm neutral</t>
        </is>
      </c>
      <c r="G94" s="10" t="inlineStr">
        <is>
          <t>I dislike it</t>
        </is>
      </c>
      <c r="H94" s="10" t="inlineStr">
        <is>
          <t>I'm neutral</t>
        </is>
      </c>
      <c r="I94" s="10" t="inlineStr">
        <is>
          <t>I'm neutral</t>
        </is>
      </c>
      <c r="J94" s="10" t="inlineStr">
        <is>
          <t>I'm neutral</t>
        </is>
      </c>
      <c r="K94" s="10" t="inlineStr">
        <is>
          <t>I'm neutral</t>
        </is>
      </c>
      <c r="L94" s="10" t="inlineStr">
        <is>
          <t>I can tolerate it</t>
        </is>
      </c>
      <c r="M94" s="10" t="inlineStr">
        <is>
          <t>I can tolerate it</t>
        </is>
      </c>
      <c r="N94" s="11">
        <f>IF(OR(B94="",C94=""),"",IFERROR(INDEX('Evaluation table'!$B$4:$F$8,MATCH(TRIM(SUBSTITUTE(B94,"’","'")),'Evaluation table'!$A$4:$A$8,0),MATCH(TRIM(SUBSTITUTE(C94,"’","'")),'Evaluation table'!$B$3:$F$3,0)),"?"))</f>
        <v/>
      </c>
      <c r="O94" s="11">
        <f>IF(OR(D94="",E94=""),"",IFERROR(INDEX('Evaluation table'!$B$4:$F$8,MATCH(TRIM(SUBSTITUTE(D94,"’","'")),'Evaluation table'!$A$4:$A$8,0),MATCH(TRIM(SUBSTITUTE(E94,"’","'")),'Evaluation table'!$B$3:$F$3,0)),"?"))</f>
        <v/>
      </c>
      <c r="P94" s="11">
        <f>IF(OR(F94="",G94=""),"",IFERROR(INDEX('Evaluation table'!$B$4:$F$8,MATCH(TRIM(SUBSTITUTE(F94,"’","'")),'Evaluation table'!$A$4:$A$8,0),MATCH(TRIM(SUBSTITUTE(G94,"’","'")),'Evaluation table'!$B$3:$F$3,0)),"?"))</f>
        <v/>
      </c>
      <c r="Q94" s="11">
        <f>IF(OR(H94="",I94=""),"",IFERROR(INDEX('Evaluation table'!$B$4:$F$8,MATCH(TRIM(SUBSTITUTE(H94,"’","'")),'Evaluation table'!$A$4:$A$8,0),MATCH(TRIM(SUBSTITUTE(I94,"’","'")),'Evaluation table'!$B$3:$F$3,0)),"?"))</f>
        <v/>
      </c>
      <c r="R94" s="11">
        <f>IF(OR(J94="",K94=""),"",IFERROR(INDEX('Evaluation table'!$B$4:$F$8,MATCH(TRIM(SUBSTITUTE(J94,"’","'")),'Evaluation table'!$A$4:$A$8,0),MATCH(TRIM(SUBSTITUTE(K94,"’","'")),'Evaluation table'!$B$3:$F$3,0)),"?"))</f>
        <v/>
      </c>
      <c r="S94" s="11">
        <f>IF(OR(L94="",M94=""),"",IFERROR(INDEX('Evaluation table'!$B$4:$F$8,MATCH(TRIM(SUBSTITUTE(L94,"’","'")),'Evaluation table'!$A$4:$A$8,0),MATCH(TRIM(SUBSTITUTE(M94,"’","'")),'Evaluation table'!$B$3:$F$3,0)),"?"))</f>
        <v/>
      </c>
    </row>
    <row r="95">
      <c r="A95" s="2" t="n">
        <v>77</v>
      </c>
      <c r="B95" s="10" t="inlineStr">
        <is>
          <t>I expect it</t>
        </is>
      </c>
      <c r="C95" s="10" t="inlineStr">
        <is>
          <t>I dislike it</t>
        </is>
      </c>
      <c r="D95" s="10" t="inlineStr">
        <is>
          <t>I like it</t>
        </is>
      </c>
      <c r="E95" s="10" t="inlineStr">
        <is>
          <t>I dislike it</t>
        </is>
      </c>
      <c r="F95" s="10" t="inlineStr">
        <is>
          <t>I like it</t>
        </is>
      </c>
      <c r="G95" s="10" t="inlineStr">
        <is>
          <t>I can tolerate it</t>
        </is>
      </c>
      <c r="H95" s="10" t="inlineStr">
        <is>
          <t>I'm neutral</t>
        </is>
      </c>
      <c r="I95" s="10" t="inlineStr">
        <is>
          <t>I'm neutral</t>
        </is>
      </c>
      <c r="J95" s="10" t="inlineStr">
        <is>
          <t>I'm neutral</t>
        </is>
      </c>
      <c r="K95" s="10" t="inlineStr">
        <is>
          <t>I can tolerate it</t>
        </is>
      </c>
      <c r="L95" s="10" t="inlineStr">
        <is>
          <t>I'm neutral</t>
        </is>
      </c>
      <c r="M95" s="10" t="inlineStr">
        <is>
          <t>I'm neutral</t>
        </is>
      </c>
      <c r="N95" s="11">
        <f>IF(OR(B95="",C95=""),"",IFERROR(INDEX('Evaluation table'!$B$4:$F$8,MATCH(TRIM(SUBSTITUTE(B95,"’","'")),'Evaluation table'!$A$4:$A$8,0),MATCH(TRIM(SUBSTITUTE(C95,"’","'")),'Evaluation table'!$B$3:$F$3,0)),"?"))</f>
        <v/>
      </c>
      <c r="O95" s="11">
        <f>IF(OR(D95="",E95=""),"",IFERROR(INDEX('Evaluation table'!$B$4:$F$8,MATCH(TRIM(SUBSTITUTE(D95,"’","'")),'Evaluation table'!$A$4:$A$8,0),MATCH(TRIM(SUBSTITUTE(E95,"’","'")),'Evaluation table'!$B$3:$F$3,0)),"?"))</f>
        <v/>
      </c>
      <c r="P95" s="11">
        <f>IF(OR(F95="",G95=""),"",IFERROR(INDEX('Evaluation table'!$B$4:$F$8,MATCH(TRIM(SUBSTITUTE(F95,"’","'")),'Evaluation table'!$A$4:$A$8,0),MATCH(TRIM(SUBSTITUTE(G95,"’","'")),'Evaluation table'!$B$3:$F$3,0)),"?"))</f>
        <v/>
      </c>
      <c r="Q95" s="11">
        <f>IF(OR(H95="",I95=""),"",IFERROR(INDEX('Evaluation table'!$B$4:$F$8,MATCH(TRIM(SUBSTITUTE(H95,"’","'")),'Evaluation table'!$A$4:$A$8,0),MATCH(TRIM(SUBSTITUTE(I95,"’","'")),'Evaluation table'!$B$3:$F$3,0)),"?"))</f>
        <v/>
      </c>
      <c r="R95" s="11">
        <f>IF(OR(J95="",K95=""),"",IFERROR(INDEX('Evaluation table'!$B$4:$F$8,MATCH(TRIM(SUBSTITUTE(J95,"’","'")),'Evaluation table'!$A$4:$A$8,0),MATCH(TRIM(SUBSTITUTE(K95,"’","'")),'Evaluation table'!$B$3:$F$3,0)),"?"))</f>
        <v/>
      </c>
      <c r="S95" s="11">
        <f>IF(OR(L95="",M95=""),"",IFERROR(INDEX('Evaluation table'!$B$4:$F$8,MATCH(TRIM(SUBSTITUTE(L95,"’","'")),'Evaluation table'!$A$4:$A$8,0),MATCH(TRIM(SUBSTITUTE(M95,"’","'")),'Evaluation table'!$B$3:$F$3,0)),"?"))</f>
        <v/>
      </c>
    </row>
    <row r="96">
      <c r="A96" s="2" t="n">
        <v>78</v>
      </c>
      <c r="B96" s="10" t="inlineStr">
        <is>
          <t>I'm neutral</t>
        </is>
      </c>
      <c r="C96" s="10" t="inlineStr">
        <is>
          <t>I dislike it</t>
        </is>
      </c>
      <c r="D96" s="10" t="inlineStr">
        <is>
          <t>I expect it</t>
        </is>
      </c>
      <c r="E96" s="10" t="inlineStr">
        <is>
          <t>I expect it</t>
        </is>
      </c>
      <c r="F96" s="10" t="inlineStr">
        <is>
          <t>I like it</t>
        </is>
      </c>
      <c r="G96" s="10" t="inlineStr">
        <is>
          <t>I dislike it</t>
        </is>
      </c>
      <c r="H96" s="10" t="inlineStr">
        <is>
          <t>I like it</t>
        </is>
      </c>
      <c r="I96" s="10" t="inlineStr">
        <is>
          <t>I'm neutral</t>
        </is>
      </c>
      <c r="J96" s="10" t="inlineStr">
        <is>
          <t>I expect it</t>
        </is>
      </c>
      <c r="K96" s="10" t="inlineStr">
        <is>
          <t>I'm neutral</t>
        </is>
      </c>
      <c r="L96" s="10" t="inlineStr">
        <is>
          <t>I like it</t>
        </is>
      </c>
      <c r="M96" s="10" t="inlineStr">
        <is>
          <t>I'm neutral</t>
        </is>
      </c>
      <c r="N96" s="11">
        <f>IF(OR(B96="",C96=""),"",IFERROR(INDEX('Evaluation table'!$B$4:$F$8,MATCH(TRIM(SUBSTITUTE(B96,"’","'")),'Evaluation table'!$A$4:$A$8,0),MATCH(TRIM(SUBSTITUTE(C96,"’","'")),'Evaluation table'!$B$3:$F$3,0)),"?"))</f>
        <v/>
      </c>
      <c r="O96" s="11">
        <f>IF(OR(D96="",E96=""),"",IFERROR(INDEX('Evaluation table'!$B$4:$F$8,MATCH(TRIM(SUBSTITUTE(D96,"’","'")),'Evaluation table'!$A$4:$A$8,0),MATCH(TRIM(SUBSTITUTE(E96,"’","'")),'Evaluation table'!$B$3:$F$3,0)),"?"))</f>
        <v/>
      </c>
      <c r="P96" s="11">
        <f>IF(OR(F96="",G96=""),"",IFERROR(INDEX('Evaluation table'!$B$4:$F$8,MATCH(TRIM(SUBSTITUTE(F96,"’","'")),'Evaluation table'!$A$4:$A$8,0),MATCH(TRIM(SUBSTITUTE(G96,"’","'")),'Evaluation table'!$B$3:$F$3,0)),"?"))</f>
        <v/>
      </c>
      <c r="Q96" s="11">
        <f>IF(OR(H96="",I96=""),"",IFERROR(INDEX('Evaluation table'!$B$4:$F$8,MATCH(TRIM(SUBSTITUTE(H96,"’","'")),'Evaluation table'!$A$4:$A$8,0),MATCH(TRIM(SUBSTITUTE(I96,"’","'")),'Evaluation table'!$B$3:$F$3,0)),"?"))</f>
        <v/>
      </c>
      <c r="R96" s="11">
        <f>IF(OR(J96="",K96=""),"",IFERROR(INDEX('Evaluation table'!$B$4:$F$8,MATCH(TRIM(SUBSTITUTE(J96,"’","'")),'Evaluation table'!$A$4:$A$8,0),MATCH(TRIM(SUBSTITUTE(K96,"’","'")),'Evaluation table'!$B$3:$F$3,0)),"?"))</f>
        <v/>
      </c>
      <c r="S96" s="11">
        <f>IF(OR(L96="",M96=""),"",IFERROR(INDEX('Evaluation table'!$B$4:$F$8,MATCH(TRIM(SUBSTITUTE(L96,"’","'")),'Evaluation table'!$A$4:$A$8,0),MATCH(TRIM(SUBSTITUTE(M96,"’","'")),'Evaluation table'!$B$3:$F$3,0)),"?"))</f>
        <v/>
      </c>
    </row>
    <row r="97">
      <c r="A97" s="2" t="n">
        <v>79</v>
      </c>
      <c r="B97" s="10" t="inlineStr">
        <is>
          <t>I expect it</t>
        </is>
      </c>
      <c r="C97" s="10" t="inlineStr">
        <is>
          <t>I dislike it</t>
        </is>
      </c>
      <c r="D97" s="10" t="inlineStr">
        <is>
          <t>I like it</t>
        </is>
      </c>
      <c r="E97" s="10" t="inlineStr">
        <is>
          <t>I dislike it</t>
        </is>
      </c>
      <c r="F97" s="10" t="inlineStr">
        <is>
          <t>I like it</t>
        </is>
      </c>
      <c r="G97" s="10" t="inlineStr">
        <is>
          <t>I'm neutral</t>
        </is>
      </c>
      <c r="H97" s="10" t="inlineStr">
        <is>
          <t>I dislike it</t>
        </is>
      </c>
      <c r="I97" s="10" t="inlineStr">
        <is>
          <t>I can tolerate it</t>
        </is>
      </c>
      <c r="J97" s="10" t="inlineStr">
        <is>
          <t>I like it</t>
        </is>
      </c>
      <c r="K97" s="10" t="inlineStr">
        <is>
          <t>I can tolerate it</t>
        </is>
      </c>
      <c r="L97" s="10" t="inlineStr">
        <is>
          <t>I'm neutral</t>
        </is>
      </c>
      <c r="M97" s="10" t="inlineStr">
        <is>
          <t>I'm neutral</t>
        </is>
      </c>
      <c r="N97" s="11">
        <f>IF(OR(B97="",C97=""),"",IFERROR(INDEX('Evaluation table'!$B$4:$F$8,MATCH(TRIM(SUBSTITUTE(B97,"’","'")),'Evaluation table'!$A$4:$A$8,0),MATCH(TRIM(SUBSTITUTE(C97,"’","'")),'Evaluation table'!$B$3:$F$3,0)),"?"))</f>
        <v/>
      </c>
      <c r="O97" s="11">
        <f>IF(OR(D97="",E97=""),"",IFERROR(INDEX('Evaluation table'!$B$4:$F$8,MATCH(TRIM(SUBSTITUTE(D97,"’","'")),'Evaluation table'!$A$4:$A$8,0),MATCH(TRIM(SUBSTITUTE(E97,"’","'")),'Evaluation table'!$B$3:$F$3,0)),"?"))</f>
        <v/>
      </c>
      <c r="P97" s="11">
        <f>IF(OR(F97="",G97=""),"",IFERROR(INDEX('Evaluation table'!$B$4:$F$8,MATCH(TRIM(SUBSTITUTE(F97,"’","'")),'Evaluation table'!$A$4:$A$8,0),MATCH(TRIM(SUBSTITUTE(G97,"’","'")),'Evaluation table'!$B$3:$F$3,0)),"?"))</f>
        <v/>
      </c>
      <c r="Q97" s="11">
        <f>IF(OR(H97="",I97=""),"",IFERROR(INDEX('Evaluation table'!$B$4:$F$8,MATCH(TRIM(SUBSTITUTE(H97,"’","'")),'Evaluation table'!$A$4:$A$8,0),MATCH(TRIM(SUBSTITUTE(I97,"’","'")),'Evaluation table'!$B$3:$F$3,0)),"?"))</f>
        <v/>
      </c>
      <c r="R97" s="11">
        <f>IF(OR(J97="",K97=""),"",IFERROR(INDEX('Evaluation table'!$B$4:$F$8,MATCH(TRIM(SUBSTITUTE(J97,"’","'")),'Evaluation table'!$A$4:$A$8,0),MATCH(TRIM(SUBSTITUTE(K97,"’","'")),'Evaluation table'!$B$3:$F$3,0)),"?"))</f>
        <v/>
      </c>
      <c r="S97" s="11">
        <f>IF(OR(L97="",M97=""),"",IFERROR(INDEX('Evaluation table'!$B$4:$F$8,MATCH(TRIM(SUBSTITUTE(L97,"’","'")),'Evaluation table'!$A$4:$A$8,0),MATCH(TRIM(SUBSTITUTE(M97,"’","'")),'Evaluation table'!$B$3:$F$3,0)),"?"))</f>
        <v/>
      </c>
    </row>
    <row r="98">
      <c r="A98" s="2" t="n">
        <v>80</v>
      </c>
      <c r="B98" s="10" t="inlineStr">
        <is>
          <t>I'm neutral</t>
        </is>
      </c>
      <c r="C98" s="10" t="inlineStr">
        <is>
          <t>I dislike it</t>
        </is>
      </c>
      <c r="D98" s="10" t="inlineStr">
        <is>
          <t>I like it</t>
        </is>
      </c>
      <c r="E98" s="10" t="inlineStr">
        <is>
          <t>I dislike it</t>
        </is>
      </c>
      <c r="F98" s="10" t="inlineStr">
        <is>
          <t>I'm neutral</t>
        </is>
      </c>
      <c r="G98" s="10" t="inlineStr">
        <is>
          <t>I'm neutral</t>
        </is>
      </c>
      <c r="H98" s="10" t="inlineStr">
        <is>
          <t>I like it</t>
        </is>
      </c>
      <c r="I98" s="10" t="inlineStr">
        <is>
          <t>I dislike it</t>
        </is>
      </c>
      <c r="J98" s="10" t="inlineStr">
        <is>
          <t>I'm neutral</t>
        </is>
      </c>
      <c r="K98" s="10" t="inlineStr">
        <is>
          <t>I'm neutral</t>
        </is>
      </c>
      <c r="L98" s="10" t="inlineStr">
        <is>
          <t>I'm neutral</t>
        </is>
      </c>
      <c r="M98" s="10" t="inlineStr">
        <is>
          <t>I like it</t>
        </is>
      </c>
      <c r="N98" s="11">
        <f>IF(OR(B98="",C98=""),"",IFERROR(INDEX('Evaluation table'!$B$4:$F$8,MATCH(TRIM(SUBSTITUTE(B98,"’","'")),'Evaluation table'!$A$4:$A$8,0),MATCH(TRIM(SUBSTITUTE(C98,"’","'")),'Evaluation table'!$B$3:$F$3,0)),"?"))</f>
        <v/>
      </c>
      <c r="O98" s="11">
        <f>IF(OR(D98="",E98=""),"",IFERROR(INDEX('Evaluation table'!$B$4:$F$8,MATCH(TRIM(SUBSTITUTE(D98,"’","'")),'Evaluation table'!$A$4:$A$8,0),MATCH(TRIM(SUBSTITUTE(E98,"’","'")),'Evaluation table'!$B$3:$F$3,0)),"?"))</f>
        <v/>
      </c>
      <c r="P98" s="11">
        <f>IF(OR(F98="",G98=""),"",IFERROR(INDEX('Evaluation table'!$B$4:$F$8,MATCH(TRIM(SUBSTITUTE(F98,"’","'")),'Evaluation table'!$A$4:$A$8,0),MATCH(TRIM(SUBSTITUTE(G98,"’","'")),'Evaluation table'!$B$3:$F$3,0)),"?"))</f>
        <v/>
      </c>
      <c r="Q98" s="11">
        <f>IF(OR(H98="",I98=""),"",IFERROR(INDEX('Evaluation table'!$B$4:$F$8,MATCH(TRIM(SUBSTITUTE(H98,"’","'")),'Evaluation table'!$A$4:$A$8,0),MATCH(TRIM(SUBSTITUTE(I98,"’","'")),'Evaluation table'!$B$3:$F$3,0)),"?"))</f>
        <v/>
      </c>
      <c r="R98" s="11">
        <f>IF(OR(J98="",K98=""),"",IFERROR(INDEX('Evaluation table'!$B$4:$F$8,MATCH(TRIM(SUBSTITUTE(J98,"’","'")),'Evaluation table'!$A$4:$A$8,0),MATCH(TRIM(SUBSTITUTE(K98,"’","'")),'Evaluation table'!$B$3:$F$3,0)),"?"))</f>
        <v/>
      </c>
      <c r="S98" s="11">
        <f>IF(OR(L98="",M98=""),"",IFERROR(INDEX('Evaluation table'!$B$4:$F$8,MATCH(TRIM(SUBSTITUTE(L98,"’","'")),'Evaluation table'!$A$4:$A$8,0),MATCH(TRIM(SUBSTITUTE(M98,"’","'")),'Evaluation table'!$B$3:$F$3,0)),"?"))</f>
        <v/>
      </c>
    </row>
    <row r="99">
      <c r="A99" s="2" t="n">
        <v>81</v>
      </c>
      <c r="B99" s="10" t="inlineStr">
        <is>
          <t>I like it</t>
        </is>
      </c>
      <c r="C99" s="10" t="inlineStr">
        <is>
          <t>I'm neutral</t>
        </is>
      </c>
      <c r="D99" s="10" t="inlineStr">
        <is>
          <t>I like it</t>
        </is>
      </c>
      <c r="E99" s="10" t="inlineStr">
        <is>
          <t>I expect it</t>
        </is>
      </c>
      <c r="F99" s="10" t="inlineStr">
        <is>
          <t>I'm neutral</t>
        </is>
      </c>
      <c r="G99" s="10" t="inlineStr">
        <is>
          <t>I can tolerate it</t>
        </is>
      </c>
      <c r="H99" s="10" t="inlineStr">
        <is>
          <t>I like it</t>
        </is>
      </c>
      <c r="I99" s="10" t="inlineStr">
        <is>
          <t>I dislike it</t>
        </is>
      </c>
      <c r="J99" s="10" t="inlineStr">
        <is>
          <t>I'm neutral</t>
        </is>
      </c>
      <c r="K99" s="10" t="inlineStr">
        <is>
          <t>I'm neutral</t>
        </is>
      </c>
      <c r="L99" s="10" t="inlineStr">
        <is>
          <t>I like it</t>
        </is>
      </c>
      <c r="M99" s="10" t="inlineStr">
        <is>
          <t>I dislike it</t>
        </is>
      </c>
      <c r="N99" s="11">
        <f>IF(OR(B99="",C99=""),"",IFERROR(INDEX('Evaluation table'!$B$4:$F$8,MATCH(TRIM(SUBSTITUTE(B99,"’","'")),'Evaluation table'!$A$4:$A$8,0),MATCH(TRIM(SUBSTITUTE(C99,"’","'")),'Evaluation table'!$B$3:$F$3,0)),"?"))</f>
        <v/>
      </c>
      <c r="O99" s="11">
        <f>IF(OR(D99="",E99=""),"",IFERROR(INDEX('Evaluation table'!$B$4:$F$8,MATCH(TRIM(SUBSTITUTE(D99,"’","'")),'Evaluation table'!$A$4:$A$8,0),MATCH(TRIM(SUBSTITUTE(E99,"’","'")),'Evaluation table'!$B$3:$F$3,0)),"?"))</f>
        <v/>
      </c>
      <c r="P99" s="11">
        <f>IF(OR(F99="",G99=""),"",IFERROR(INDEX('Evaluation table'!$B$4:$F$8,MATCH(TRIM(SUBSTITUTE(F99,"’","'")),'Evaluation table'!$A$4:$A$8,0),MATCH(TRIM(SUBSTITUTE(G99,"’","'")),'Evaluation table'!$B$3:$F$3,0)),"?"))</f>
        <v/>
      </c>
      <c r="Q99" s="11">
        <f>IF(OR(H99="",I99=""),"",IFERROR(INDEX('Evaluation table'!$B$4:$F$8,MATCH(TRIM(SUBSTITUTE(H99,"’","'")),'Evaluation table'!$A$4:$A$8,0),MATCH(TRIM(SUBSTITUTE(I99,"’","'")),'Evaluation table'!$B$3:$F$3,0)),"?"))</f>
        <v/>
      </c>
      <c r="R99" s="11">
        <f>IF(OR(J99="",K99=""),"",IFERROR(INDEX('Evaluation table'!$B$4:$F$8,MATCH(TRIM(SUBSTITUTE(J99,"’","'")),'Evaluation table'!$A$4:$A$8,0),MATCH(TRIM(SUBSTITUTE(K99,"’","'")),'Evaluation table'!$B$3:$F$3,0)),"?"))</f>
        <v/>
      </c>
      <c r="S99" s="11">
        <f>IF(OR(L99="",M99=""),"",IFERROR(INDEX('Evaluation table'!$B$4:$F$8,MATCH(TRIM(SUBSTITUTE(L99,"’","'")),'Evaluation table'!$A$4:$A$8,0),MATCH(TRIM(SUBSTITUTE(M99,"’","'")),'Evaluation table'!$B$3:$F$3,0)),"?"))</f>
        <v/>
      </c>
    </row>
    <row r="100">
      <c r="A100" s="2" t="n">
        <v>82</v>
      </c>
      <c r="B100" s="10" t="inlineStr">
        <is>
          <t>I like it</t>
        </is>
      </c>
      <c r="C100" s="10" t="inlineStr">
        <is>
          <t>I dislike it</t>
        </is>
      </c>
      <c r="D100" s="10" t="inlineStr">
        <is>
          <t>I'm neutral</t>
        </is>
      </c>
      <c r="E100" s="10" t="inlineStr">
        <is>
          <t>I dislike it</t>
        </is>
      </c>
      <c r="F100" s="10" t="inlineStr">
        <is>
          <t>I like it</t>
        </is>
      </c>
      <c r="G100" s="10" t="inlineStr">
        <is>
          <t>I'm neutral</t>
        </is>
      </c>
      <c r="H100" s="10" t="inlineStr">
        <is>
          <t>I'm neutral</t>
        </is>
      </c>
      <c r="I100" s="10" t="inlineStr">
        <is>
          <t>I'm neutral</t>
        </is>
      </c>
      <c r="J100" s="10" t="inlineStr">
        <is>
          <t>I like it</t>
        </is>
      </c>
      <c r="K100" s="10" t="inlineStr">
        <is>
          <t>I can tolerate it</t>
        </is>
      </c>
      <c r="L100" s="10" t="inlineStr">
        <is>
          <t>I dislike it</t>
        </is>
      </c>
      <c r="M100" s="10" t="inlineStr">
        <is>
          <t>I can tolerate it</t>
        </is>
      </c>
      <c r="N100" s="11">
        <f>IF(OR(B100="",C100=""),"",IFERROR(INDEX('Evaluation table'!$B$4:$F$8,MATCH(TRIM(SUBSTITUTE(B100,"’","'")),'Evaluation table'!$A$4:$A$8,0),MATCH(TRIM(SUBSTITUTE(C100,"’","'")),'Evaluation table'!$B$3:$F$3,0)),"?"))</f>
        <v/>
      </c>
      <c r="O100" s="11">
        <f>IF(OR(D100="",E100=""),"",IFERROR(INDEX('Evaluation table'!$B$4:$F$8,MATCH(TRIM(SUBSTITUTE(D100,"’","'")),'Evaluation table'!$A$4:$A$8,0),MATCH(TRIM(SUBSTITUTE(E100,"’","'")),'Evaluation table'!$B$3:$F$3,0)),"?"))</f>
        <v/>
      </c>
      <c r="P100" s="11">
        <f>IF(OR(F100="",G100=""),"",IFERROR(INDEX('Evaluation table'!$B$4:$F$8,MATCH(TRIM(SUBSTITUTE(F100,"’","'")),'Evaluation table'!$A$4:$A$8,0),MATCH(TRIM(SUBSTITUTE(G100,"’","'")),'Evaluation table'!$B$3:$F$3,0)),"?"))</f>
        <v/>
      </c>
      <c r="Q100" s="11">
        <f>IF(OR(H100="",I100=""),"",IFERROR(INDEX('Evaluation table'!$B$4:$F$8,MATCH(TRIM(SUBSTITUTE(H100,"’","'")),'Evaluation table'!$A$4:$A$8,0),MATCH(TRIM(SUBSTITUTE(I100,"’","'")),'Evaluation table'!$B$3:$F$3,0)),"?"))</f>
        <v/>
      </c>
      <c r="R100" s="11">
        <f>IF(OR(J100="",K100=""),"",IFERROR(INDEX('Evaluation table'!$B$4:$F$8,MATCH(TRIM(SUBSTITUTE(J100,"’","'")),'Evaluation table'!$A$4:$A$8,0),MATCH(TRIM(SUBSTITUTE(K100,"’","'")),'Evaluation table'!$B$3:$F$3,0)),"?"))</f>
        <v/>
      </c>
      <c r="S100" s="11">
        <f>IF(OR(L100="",M100=""),"",IFERROR(INDEX('Evaluation table'!$B$4:$F$8,MATCH(TRIM(SUBSTITUTE(L100,"’","'")),'Evaluation table'!$A$4:$A$8,0),MATCH(TRIM(SUBSTITUTE(M100,"’","'")),'Evaluation table'!$B$3:$F$3,0)),"?"))</f>
        <v/>
      </c>
    </row>
    <row r="101">
      <c r="A101" s="2" t="n">
        <v>83</v>
      </c>
      <c r="B101" s="10" t="inlineStr">
        <is>
          <t>I like it</t>
        </is>
      </c>
      <c r="C101" s="10" t="inlineStr">
        <is>
          <t>I dislike it</t>
        </is>
      </c>
      <c r="D101" s="10" t="inlineStr">
        <is>
          <t>I'm neutral</t>
        </is>
      </c>
      <c r="E101" s="10" t="inlineStr">
        <is>
          <t>I'm neutral</t>
        </is>
      </c>
      <c r="F101" s="10" t="inlineStr">
        <is>
          <t>I'm neutral</t>
        </is>
      </c>
      <c r="G101" s="10" t="inlineStr">
        <is>
          <t>I can tolerate it</t>
        </is>
      </c>
      <c r="H101" s="10" t="inlineStr">
        <is>
          <t>I dislike it</t>
        </is>
      </c>
      <c r="I101" s="10" t="inlineStr">
        <is>
          <t>I can tolerate it</t>
        </is>
      </c>
      <c r="J101" s="10" t="inlineStr">
        <is>
          <t>I like it</t>
        </is>
      </c>
      <c r="K101" s="10" t="inlineStr">
        <is>
          <t>I dislike it</t>
        </is>
      </c>
      <c r="L101" s="10" t="inlineStr">
        <is>
          <t>I'm neutral</t>
        </is>
      </c>
      <c r="M101" s="10" t="inlineStr">
        <is>
          <t>I'm neutral</t>
        </is>
      </c>
      <c r="N101" s="11">
        <f>IF(OR(B101="",C101=""),"",IFERROR(INDEX('Evaluation table'!$B$4:$F$8,MATCH(TRIM(SUBSTITUTE(B101,"’","'")),'Evaluation table'!$A$4:$A$8,0),MATCH(TRIM(SUBSTITUTE(C101,"’","'")),'Evaluation table'!$B$3:$F$3,0)),"?"))</f>
        <v/>
      </c>
      <c r="O101" s="11">
        <f>IF(OR(D101="",E101=""),"",IFERROR(INDEX('Evaluation table'!$B$4:$F$8,MATCH(TRIM(SUBSTITUTE(D101,"’","'")),'Evaluation table'!$A$4:$A$8,0),MATCH(TRIM(SUBSTITUTE(E101,"’","'")),'Evaluation table'!$B$3:$F$3,0)),"?"))</f>
        <v/>
      </c>
      <c r="P101" s="11">
        <f>IF(OR(F101="",G101=""),"",IFERROR(INDEX('Evaluation table'!$B$4:$F$8,MATCH(TRIM(SUBSTITUTE(F101,"’","'")),'Evaluation table'!$A$4:$A$8,0),MATCH(TRIM(SUBSTITUTE(G101,"’","'")),'Evaluation table'!$B$3:$F$3,0)),"?"))</f>
        <v/>
      </c>
      <c r="Q101" s="11">
        <f>IF(OR(H101="",I101=""),"",IFERROR(INDEX('Evaluation table'!$B$4:$F$8,MATCH(TRIM(SUBSTITUTE(H101,"’","'")),'Evaluation table'!$A$4:$A$8,0),MATCH(TRIM(SUBSTITUTE(I101,"’","'")),'Evaluation table'!$B$3:$F$3,0)),"?"))</f>
        <v/>
      </c>
      <c r="R101" s="11">
        <f>IF(OR(J101="",K101=""),"",IFERROR(INDEX('Evaluation table'!$B$4:$F$8,MATCH(TRIM(SUBSTITUTE(J101,"’","'")),'Evaluation table'!$A$4:$A$8,0),MATCH(TRIM(SUBSTITUTE(K101,"’","'")),'Evaluation table'!$B$3:$F$3,0)),"?"))</f>
        <v/>
      </c>
      <c r="S101" s="11">
        <f>IF(OR(L101="",M101=""),"",IFERROR(INDEX('Evaluation table'!$B$4:$F$8,MATCH(TRIM(SUBSTITUTE(L101,"’","'")),'Evaluation table'!$A$4:$A$8,0),MATCH(TRIM(SUBSTITUTE(M101,"’","'")),'Evaluation table'!$B$3:$F$3,0)),"?"))</f>
        <v/>
      </c>
    </row>
    <row r="102">
      <c r="A102" s="2" t="n">
        <v>84</v>
      </c>
      <c r="B102" s="10" t="inlineStr">
        <is>
          <t>I like it</t>
        </is>
      </c>
      <c r="C102" s="10" t="inlineStr">
        <is>
          <t>I dislike it</t>
        </is>
      </c>
      <c r="D102" s="10" t="inlineStr">
        <is>
          <t>I'm neutral</t>
        </is>
      </c>
      <c r="E102" s="10" t="inlineStr">
        <is>
          <t>I'm neutral</t>
        </is>
      </c>
      <c r="F102" s="10" t="inlineStr">
        <is>
          <t>I like it</t>
        </is>
      </c>
      <c r="G102" s="10" t="inlineStr">
        <is>
          <t>I'm neutral</t>
        </is>
      </c>
      <c r="H102" s="10" t="inlineStr">
        <is>
          <t>I expect it</t>
        </is>
      </c>
      <c r="I102" s="10" t="inlineStr">
        <is>
          <t>I dislike it</t>
        </is>
      </c>
      <c r="J102" s="10" t="inlineStr">
        <is>
          <t>I'm neutral</t>
        </is>
      </c>
      <c r="K102" s="10" t="inlineStr">
        <is>
          <t>I'm neutral</t>
        </is>
      </c>
      <c r="L102" s="10" t="inlineStr">
        <is>
          <t>I'm neutral</t>
        </is>
      </c>
      <c r="M102" s="10" t="inlineStr">
        <is>
          <t>I'm neutral</t>
        </is>
      </c>
      <c r="N102" s="11">
        <f>IF(OR(B102="",C102=""),"",IFERROR(INDEX('Evaluation table'!$B$4:$F$8,MATCH(TRIM(SUBSTITUTE(B102,"’","'")),'Evaluation table'!$A$4:$A$8,0),MATCH(TRIM(SUBSTITUTE(C102,"’","'")),'Evaluation table'!$B$3:$F$3,0)),"?"))</f>
        <v/>
      </c>
      <c r="O102" s="11">
        <f>IF(OR(D102="",E102=""),"",IFERROR(INDEX('Evaluation table'!$B$4:$F$8,MATCH(TRIM(SUBSTITUTE(D102,"’","'")),'Evaluation table'!$A$4:$A$8,0),MATCH(TRIM(SUBSTITUTE(E102,"’","'")),'Evaluation table'!$B$3:$F$3,0)),"?"))</f>
        <v/>
      </c>
      <c r="P102" s="11">
        <f>IF(OR(F102="",G102=""),"",IFERROR(INDEX('Evaluation table'!$B$4:$F$8,MATCH(TRIM(SUBSTITUTE(F102,"’","'")),'Evaluation table'!$A$4:$A$8,0),MATCH(TRIM(SUBSTITUTE(G102,"’","'")),'Evaluation table'!$B$3:$F$3,0)),"?"))</f>
        <v/>
      </c>
      <c r="Q102" s="11">
        <f>IF(OR(H102="",I102=""),"",IFERROR(INDEX('Evaluation table'!$B$4:$F$8,MATCH(TRIM(SUBSTITUTE(H102,"’","'")),'Evaluation table'!$A$4:$A$8,0),MATCH(TRIM(SUBSTITUTE(I102,"’","'")),'Evaluation table'!$B$3:$F$3,0)),"?"))</f>
        <v/>
      </c>
      <c r="R102" s="11">
        <f>IF(OR(J102="",K102=""),"",IFERROR(INDEX('Evaluation table'!$B$4:$F$8,MATCH(TRIM(SUBSTITUTE(J102,"’","'")),'Evaluation table'!$A$4:$A$8,0),MATCH(TRIM(SUBSTITUTE(K102,"’","'")),'Evaluation table'!$B$3:$F$3,0)),"?"))</f>
        <v/>
      </c>
      <c r="S102" s="11">
        <f>IF(OR(L102="",M102=""),"",IFERROR(INDEX('Evaluation table'!$B$4:$F$8,MATCH(TRIM(SUBSTITUTE(L102,"’","'")),'Evaluation table'!$A$4:$A$8,0),MATCH(TRIM(SUBSTITUTE(M102,"’","'")),'Evaluation table'!$B$3:$F$3,0)),"?"))</f>
        <v/>
      </c>
    </row>
    <row r="103">
      <c r="A103" s="2" t="n">
        <v>85</v>
      </c>
      <c r="B103" s="10" t="inlineStr">
        <is>
          <t>I expect it</t>
        </is>
      </c>
      <c r="C103" s="10" t="inlineStr">
        <is>
          <t>I dislike it</t>
        </is>
      </c>
      <c r="D103" s="10" t="inlineStr">
        <is>
          <t>I'm neutral</t>
        </is>
      </c>
      <c r="E103" s="10" t="inlineStr">
        <is>
          <t>I can tolerate it</t>
        </is>
      </c>
      <c r="F103" s="10" t="inlineStr">
        <is>
          <t>I like it</t>
        </is>
      </c>
      <c r="G103" s="10" t="inlineStr">
        <is>
          <t>I'm neutral</t>
        </is>
      </c>
      <c r="H103" s="10" t="inlineStr">
        <is>
          <t>I like it</t>
        </is>
      </c>
      <c r="I103" s="10" t="inlineStr">
        <is>
          <t>I'm neutral</t>
        </is>
      </c>
      <c r="J103" s="10" t="inlineStr">
        <is>
          <t>I like it</t>
        </is>
      </c>
      <c r="K103" s="10" t="inlineStr">
        <is>
          <t>I dislike it</t>
        </is>
      </c>
      <c r="L103" s="10" t="inlineStr">
        <is>
          <t>I dislike it</t>
        </is>
      </c>
      <c r="M103" s="10" t="inlineStr">
        <is>
          <t>I'm neutral</t>
        </is>
      </c>
      <c r="N103" s="11">
        <f>IF(OR(B103="",C103=""),"",IFERROR(INDEX('Evaluation table'!$B$4:$F$8,MATCH(TRIM(SUBSTITUTE(B103,"’","'")),'Evaluation table'!$A$4:$A$8,0),MATCH(TRIM(SUBSTITUTE(C103,"’","'")),'Evaluation table'!$B$3:$F$3,0)),"?"))</f>
        <v/>
      </c>
      <c r="O103" s="11">
        <f>IF(OR(D103="",E103=""),"",IFERROR(INDEX('Evaluation table'!$B$4:$F$8,MATCH(TRIM(SUBSTITUTE(D103,"’","'")),'Evaluation table'!$A$4:$A$8,0),MATCH(TRIM(SUBSTITUTE(E103,"’","'")),'Evaluation table'!$B$3:$F$3,0)),"?"))</f>
        <v/>
      </c>
      <c r="P103" s="11">
        <f>IF(OR(F103="",G103=""),"",IFERROR(INDEX('Evaluation table'!$B$4:$F$8,MATCH(TRIM(SUBSTITUTE(F103,"’","'")),'Evaluation table'!$A$4:$A$8,0),MATCH(TRIM(SUBSTITUTE(G103,"’","'")),'Evaluation table'!$B$3:$F$3,0)),"?"))</f>
        <v/>
      </c>
      <c r="Q103" s="11">
        <f>IF(OR(H103="",I103=""),"",IFERROR(INDEX('Evaluation table'!$B$4:$F$8,MATCH(TRIM(SUBSTITUTE(H103,"’","'")),'Evaluation table'!$A$4:$A$8,0),MATCH(TRIM(SUBSTITUTE(I103,"’","'")),'Evaluation table'!$B$3:$F$3,0)),"?"))</f>
        <v/>
      </c>
      <c r="R103" s="11">
        <f>IF(OR(J103="",K103=""),"",IFERROR(INDEX('Evaluation table'!$B$4:$F$8,MATCH(TRIM(SUBSTITUTE(J103,"’","'")),'Evaluation table'!$A$4:$A$8,0),MATCH(TRIM(SUBSTITUTE(K103,"’","'")),'Evaluation table'!$B$3:$F$3,0)),"?"))</f>
        <v/>
      </c>
      <c r="S103" s="11">
        <f>IF(OR(L103="",M103=""),"",IFERROR(INDEX('Evaluation table'!$B$4:$F$8,MATCH(TRIM(SUBSTITUTE(L103,"’","'")),'Evaluation table'!$A$4:$A$8,0),MATCH(TRIM(SUBSTITUTE(M103,"’","'")),'Evaluation table'!$B$3:$F$3,0)),"?"))</f>
        <v/>
      </c>
    </row>
    <row r="104">
      <c r="A104" s="2" t="n">
        <v>86</v>
      </c>
      <c r="B104" s="10" t="inlineStr">
        <is>
          <t>I expect it</t>
        </is>
      </c>
      <c r="C104" s="10" t="inlineStr">
        <is>
          <t>I dislike it</t>
        </is>
      </c>
      <c r="D104" s="10" t="inlineStr">
        <is>
          <t>I like it</t>
        </is>
      </c>
      <c r="E104" s="10" t="inlineStr">
        <is>
          <t>I dislike it</t>
        </is>
      </c>
      <c r="F104" s="10" t="inlineStr">
        <is>
          <t>I like it</t>
        </is>
      </c>
      <c r="G104" s="10" t="inlineStr">
        <is>
          <t>I'm neutral</t>
        </is>
      </c>
      <c r="H104" s="10" t="inlineStr">
        <is>
          <t>I like it</t>
        </is>
      </c>
      <c r="I104" s="10" t="inlineStr">
        <is>
          <t>I can tolerate it</t>
        </is>
      </c>
      <c r="J104" s="10" t="inlineStr">
        <is>
          <t>I'm neutral</t>
        </is>
      </c>
      <c r="K104" s="10" t="inlineStr">
        <is>
          <t>I'm neutral</t>
        </is>
      </c>
      <c r="L104" s="10" t="inlineStr">
        <is>
          <t>I like it</t>
        </is>
      </c>
      <c r="M104" s="10" t="inlineStr">
        <is>
          <t>I'm neutral</t>
        </is>
      </c>
      <c r="N104" s="11">
        <f>IF(OR(B104="",C104=""),"",IFERROR(INDEX('Evaluation table'!$B$4:$F$8,MATCH(TRIM(SUBSTITUTE(B104,"’","'")),'Evaluation table'!$A$4:$A$8,0),MATCH(TRIM(SUBSTITUTE(C104,"’","'")),'Evaluation table'!$B$3:$F$3,0)),"?"))</f>
        <v/>
      </c>
      <c r="O104" s="11">
        <f>IF(OR(D104="",E104=""),"",IFERROR(INDEX('Evaluation table'!$B$4:$F$8,MATCH(TRIM(SUBSTITUTE(D104,"’","'")),'Evaluation table'!$A$4:$A$8,0),MATCH(TRIM(SUBSTITUTE(E104,"’","'")),'Evaluation table'!$B$3:$F$3,0)),"?"))</f>
        <v/>
      </c>
      <c r="P104" s="11">
        <f>IF(OR(F104="",G104=""),"",IFERROR(INDEX('Evaluation table'!$B$4:$F$8,MATCH(TRIM(SUBSTITUTE(F104,"’","'")),'Evaluation table'!$A$4:$A$8,0),MATCH(TRIM(SUBSTITUTE(G104,"’","'")),'Evaluation table'!$B$3:$F$3,0)),"?"))</f>
        <v/>
      </c>
      <c r="Q104" s="11">
        <f>IF(OR(H104="",I104=""),"",IFERROR(INDEX('Evaluation table'!$B$4:$F$8,MATCH(TRIM(SUBSTITUTE(H104,"’","'")),'Evaluation table'!$A$4:$A$8,0),MATCH(TRIM(SUBSTITUTE(I104,"’","'")),'Evaluation table'!$B$3:$F$3,0)),"?"))</f>
        <v/>
      </c>
      <c r="R104" s="11">
        <f>IF(OR(J104="",K104=""),"",IFERROR(INDEX('Evaluation table'!$B$4:$F$8,MATCH(TRIM(SUBSTITUTE(J104,"’","'")),'Evaluation table'!$A$4:$A$8,0),MATCH(TRIM(SUBSTITUTE(K104,"’","'")),'Evaluation table'!$B$3:$F$3,0)),"?"))</f>
        <v/>
      </c>
      <c r="S104" s="11">
        <f>IF(OR(L104="",M104=""),"",IFERROR(INDEX('Evaluation table'!$B$4:$F$8,MATCH(TRIM(SUBSTITUTE(L104,"’","'")),'Evaluation table'!$A$4:$A$8,0),MATCH(TRIM(SUBSTITUTE(M104,"’","'")),'Evaluation table'!$B$3:$F$3,0)),"?"))</f>
        <v/>
      </c>
    </row>
    <row r="105">
      <c r="A105" s="2" t="n">
        <v>87</v>
      </c>
      <c r="B105" s="10" t="inlineStr">
        <is>
          <t>I like it</t>
        </is>
      </c>
      <c r="C105" s="10" t="inlineStr">
        <is>
          <t>I dislike it</t>
        </is>
      </c>
      <c r="D105" s="10" t="inlineStr">
        <is>
          <t>I like it</t>
        </is>
      </c>
      <c r="E105" s="10" t="inlineStr">
        <is>
          <t>I'm neutral</t>
        </is>
      </c>
      <c r="F105" s="10" t="inlineStr">
        <is>
          <t>I can tolerate it</t>
        </is>
      </c>
      <c r="G105" s="10" t="inlineStr">
        <is>
          <t>I dislike it</t>
        </is>
      </c>
      <c r="H105" s="10" t="inlineStr">
        <is>
          <t>I'm neutral</t>
        </is>
      </c>
      <c r="I105" s="10" t="inlineStr">
        <is>
          <t>I'm neutral</t>
        </is>
      </c>
      <c r="J105" s="10" t="inlineStr">
        <is>
          <t>I like it</t>
        </is>
      </c>
      <c r="K105" s="10" t="inlineStr">
        <is>
          <t>I'm neutral</t>
        </is>
      </c>
      <c r="L105" s="10" t="inlineStr">
        <is>
          <t>I dislike it</t>
        </is>
      </c>
      <c r="M105" s="10" t="inlineStr">
        <is>
          <t>I can tolerate it</t>
        </is>
      </c>
      <c r="N105" s="11">
        <f>IF(OR(B105="",C105=""),"",IFERROR(INDEX('Evaluation table'!$B$4:$F$8,MATCH(TRIM(SUBSTITUTE(B105,"’","'")),'Evaluation table'!$A$4:$A$8,0),MATCH(TRIM(SUBSTITUTE(C105,"’","'")),'Evaluation table'!$B$3:$F$3,0)),"?"))</f>
        <v/>
      </c>
      <c r="O105" s="11">
        <f>IF(OR(D105="",E105=""),"",IFERROR(INDEX('Evaluation table'!$B$4:$F$8,MATCH(TRIM(SUBSTITUTE(D105,"’","'")),'Evaluation table'!$A$4:$A$8,0),MATCH(TRIM(SUBSTITUTE(E105,"’","'")),'Evaluation table'!$B$3:$F$3,0)),"?"))</f>
        <v/>
      </c>
      <c r="P105" s="11">
        <f>IF(OR(F105="",G105=""),"",IFERROR(INDEX('Evaluation table'!$B$4:$F$8,MATCH(TRIM(SUBSTITUTE(F105,"’","'")),'Evaluation table'!$A$4:$A$8,0),MATCH(TRIM(SUBSTITUTE(G105,"’","'")),'Evaluation table'!$B$3:$F$3,0)),"?"))</f>
        <v/>
      </c>
      <c r="Q105" s="11">
        <f>IF(OR(H105="",I105=""),"",IFERROR(INDEX('Evaluation table'!$B$4:$F$8,MATCH(TRIM(SUBSTITUTE(H105,"’","'")),'Evaluation table'!$A$4:$A$8,0),MATCH(TRIM(SUBSTITUTE(I105,"’","'")),'Evaluation table'!$B$3:$F$3,0)),"?"))</f>
        <v/>
      </c>
      <c r="R105" s="11">
        <f>IF(OR(J105="",K105=""),"",IFERROR(INDEX('Evaluation table'!$B$4:$F$8,MATCH(TRIM(SUBSTITUTE(J105,"’","'")),'Evaluation table'!$A$4:$A$8,0),MATCH(TRIM(SUBSTITUTE(K105,"’","'")),'Evaluation table'!$B$3:$F$3,0)),"?"))</f>
        <v/>
      </c>
      <c r="S105" s="11">
        <f>IF(OR(L105="",M105=""),"",IFERROR(INDEX('Evaluation table'!$B$4:$F$8,MATCH(TRIM(SUBSTITUTE(L105,"’","'")),'Evaluation table'!$A$4:$A$8,0),MATCH(TRIM(SUBSTITUTE(M105,"’","'")),'Evaluation table'!$B$3:$F$3,0)),"?"))</f>
        <v/>
      </c>
    </row>
    <row r="106">
      <c r="A106" s="2" t="n">
        <v>88</v>
      </c>
      <c r="B106" s="10" t="inlineStr">
        <is>
          <t>I like it</t>
        </is>
      </c>
      <c r="C106" s="10" t="inlineStr">
        <is>
          <t>I dislike it</t>
        </is>
      </c>
      <c r="D106" s="10" t="inlineStr">
        <is>
          <t>I'm neutral</t>
        </is>
      </c>
      <c r="E106" s="10" t="inlineStr">
        <is>
          <t>I dislike it</t>
        </is>
      </c>
      <c r="F106" s="10" t="inlineStr">
        <is>
          <t>I like it</t>
        </is>
      </c>
      <c r="G106" s="10" t="inlineStr">
        <is>
          <t>I can tolerate it</t>
        </is>
      </c>
      <c r="H106" s="10" t="inlineStr">
        <is>
          <t>I like it</t>
        </is>
      </c>
      <c r="I106" s="10" t="inlineStr">
        <is>
          <t>I dislike it</t>
        </is>
      </c>
      <c r="J106" s="10" t="inlineStr">
        <is>
          <t>I'm neutral</t>
        </is>
      </c>
      <c r="K106" s="10" t="inlineStr">
        <is>
          <t>I'm neutral</t>
        </is>
      </c>
      <c r="L106" s="10" t="inlineStr">
        <is>
          <t>I dislike it</t>
        </is>
      </c>
      <c r="M106" s="10" t="inlineStr">
        <is>
          <t>I'm neutral</t>
        </is>
      </c>
      <c r="N106" s="11">
        <f>IF(OR(B106="",C106=""),"",IFERROR(INDEX('Evaluation table'!$B$4:$F$8,MATCH(TRIM(SUBSTITUTE(B106,"’","'")),'Evaluation table'!$A$4:$A$8,0),MATCH(TRIM(SUBSTITUTE(C106,"’","'")),'Evaluation table'!$B$3:$F$3,0)),"?"))</f>
        <v/>
      </c>
      <c r="O106" s="11">
        <f>IF(OR(D106="",E106=""),"",IFERROR(INDEX('Evaluation table'!$B$4:$F$8,MATCH(TRIM(SUBSTITUTE(D106,"’","'")),'Evaluation table'!$A$4:$A$8,0),MATCH(TRIM(SUBSTITUTE(E106,"’","'")),'Evaluation table'!$B$3:$F$3,0)),"?"))</f>
        <v/>
      </c>
      <c r="P106" s="11">
        <f>IF(OR(F106="",G106=""),"",IFERROR(INDEX('Evaluation table'!$B$4:$F$8,MATCH(TRIM(SUBSTITUTE(F106,"’","'")),'Evaluation table'!$A$4:$A$8,0),MATCH(TRIM(SUBSTITUTE(G106,"’","'")),'Evaluation table'!$B$3:$F$3,0)),"?"))</f>
        <v/>
      </c>
      <c r="Q106" s="11">
        <f>IF(OR(H106="",I106=""),"",IFERROR(INDEX('Evaluation table'!$B$4:$F$8,MATCH(TRIM(SUBSTITUTE(H106,"’","'")),'Evaluation table'!$A$4:$A$8,0),MATCH(TRIM(SUBSTITUTE(I106,"’","'")),'Evaluation table'!$B$3:$F$3,0)),"?"))</f>
        <v/>
      </c>
      <c r="R106" s="11">
        <f>IF(OR(J106="",K106=""),"",IFERROR(INDEX('Evaluation table'!$B$4:$F$8,MATCH(TRIM(SUBSTITUTE(J106,"’","'")),'Evaluation table'!$A$4:$A$8,0),MATCH(TRIM(SUBSTITUTE(K106,"’","'")),'Evaluation table'!$B$3:$F$3,0)),"?"))</f>
        <v/>
      </c>
      <c r="S106" s="11">
        <f>IF(OR(L106="",M106=""),"",IFERROR(INDEX('Evaluation table'!$B$4:$F$8,MATCH(TRIM(SUBSTITUTE(L106,"’","'")),'Evaluation table'!$A$4:$A$8,0),MATCH(TRIM(SUBSTITUTE(M106,"’","'")),'Evaluation table'!$B$3:$F$3,0)),"?"))</f>
        <v/>
      </c>
    </row>
    <row r="107">
      <c r="A107" s="2" t="n">
        <v>89</v>
      </c>
      <c r="B107" s="10" t="inlineStr">
        <is>
          <t>I like it</t>
        </is>
      </c>
      <c r="C107" s="10" t="inlineStr">
        <is>
          <t>I dislike it</t>
        </is>
      </c>
      <c r="D107" s="10" t="inlineStr">
        <is>
          <t>I like it</t>
        </is>
      </c>
      <c r="E107" s="10" t="inlineStr">
        <is>
          <t>I'm neutral</t>
        </is>
      </c>
      <c r="F107" s="10" t="inlineStr">
        <is>
          <t>I like it</t>
        </is>
      </c>
      <c r="G107" s="10" t="inlineStr">
        <is>
          <t>I dislike it</t>
        </is>
      </c>
      <c r="H107" s="10" t="inlineStr">
        <is>
          <t>I like it</t>
        </is>
      </c>
      <c r="I107" s="10" t="inlineStr">
        <is>
          <t>I'm neutral</t>
        </is>
      </c>
      <c r="J107" s="10" t="inlineStr">
        <is>
          <t>I'm neutral</t>
        </is>
      </c>
      <c r="K107" s="10" t="inlineStr">
        <is>
          <t>I can tolerate it</t>
        </is>
      </c>
      <c r="L107" s="10" t="inlineStr">
        <is>
          <t>I like it</t>
        </is>
      </c>
      <c r="M107" s="10" t="inlineStr">
        <is>
          <t>I dislike it</t>
        </is>
      </c>
      <c r="N107" s="11">
        <f>IF(OR(B107="",C107=""),"",IFERROR(INDEX('Evaluation table'!$B$4:$F$8,MATCH(TRIM(SUBSTITUTE(B107,"’","'")),'Evaluation table'!$A$4:$A$8,0),MATCH(TRIM(SUBSTITUTE(C107,"’","'")),'Evaluation table'!$B$3:$F$3,0)),"?"))</f>
        <v/>
      </c>
      <c r="O107" s="11">
        <f>IF(OR(D107="",E107=""),"",IFERROR(INDEX('Evaluation table'!$B$4:$F$8,MATCH(TRIM(SUBSTITUTE(D107,"’","'")),'Evaluation table'!$A$4:$A$8,0),MATCH(TRIM(SUBSTITUTE(E107,"’","'")),'Evaluation table'!$B$3:$F$3,0)),"?"))</f>
        <v/>
      </c>
      <c r="P107" s="11">
        <f>IF(OR(F107="",G107=""),"",IFERROR(INDEX('Evaluation table'!$B$4:$F$8,MATCH(TRIM(SUBSTITUTE(F107,"’","'")),'Evaluation table'!$A$4:$A$8,0),MATCH(TRIM(SUBSTITUTE(G107,"’","'")),'Evaluation table'!$B$3:$F$3,0)),"?"))</f>
        <v/>
      </c>
      <c r="Q107" s="11">
        <f>IF(OR(H107="",I107=""),"",IFERROR(INDEX('Evaluation table'!$B$4:$F$8,MATCH(TRIM(SUBSTITUTE(H107,"’","'")),'Evaluation table'!$A$4:$A$8,0),MATCH(TRIM(SUBSTITUTE(I107,"’","'")),'Evaluation table'!$B$3:$F$3,0)),"?"))</f>
        <v/>
      </c>
      <c r="R107" s="11">
        <f>IF(OR(J107="",K107=""),"",IFERROR(INDEX('Evaluation table'!$B$4:$F$8,MATCH(TRIM(SUBSTITUTE(J107,"’","'")),'Evaluation table'!$A$4:$A$8,0),MATCH(TRIM(SUBSTITUTE(K107,"’","'")),'Evaluation table'!$B$3:$F$3,0)),"?"))</f>
        <v/>
      </c>
      <c r="S107" s="11">
        <f>IF(OR(L107="",M107=""),"",IFERROR(INDEX('Evaluation table'!$B$4:$F$8,MATCH(TRIM(SUBSTITUTE(L107,"’","'")),'Evaluation table'!$A$4:$A$8,0),MATCH(TRIM(SUBSTITUTE(M107,"’","'")),'Evaluation table'!$B$3:$F$3,0)),"?"))</f>
        <v/>
      </c>
    </row>
    <row r="108">
      <c r="A108" s="2" t="n">
        <v>90</v>
      </c>
      <c r="B108" s="10" t="inlineStr">
        <is>
          <t>I like it</t>
        </is>
      </c>
      <c r="C108" s="10" t="inlineStr">
        <is>
          <t>I dislike it</t>
        </is>
      </c>
      <c r="D108" s="10" t="inlineStr">
        <is>
          <t>I'm neutral</t>
        </is>
      </c>
      <c r="E108" s="10" t="inlineStr">
        <is>
          <t>I'm neutral</t>
        </is>
      </c>
      <c r="F108" s="10" t="inlineStr">
        <is>
          <t>I like it</t>
        </is>
      </c>
      <c r="G108" s="10" t="inlineStr">
        <is>
          <t>I dislike it</t>
        </is>
      </c>
      <c r="H108" s="10" t="inlineStr">
        <is>
          <t>I'm neutral</t>
        </is>
      </c>
      <c r="I108" s="10" t="inlineStr">
        <is>
          <t>I'm neutral</t>
        </is>
      </c>
      <c r="J108" s="10" t="inlineStr">
        <is>
          <t>I'm neutral</t>
        </is>
      </c>
      <c r="K108" s="10" t="inlineStr">
        <is>
          <t>I'm neutral</t>
        </is>
      </c>
      <c r="L108" s="10" t="inlineStr">
        <is>
          <t>I'm neutral</t>
        </is>
      </c>
      <c r="M108" s="10" t="inlineStr">
        <is>
          <t>I'm neutral</t>
        </is>
      </c>
      <c r="N108" s="11">
        <f>IF(OR(B108="",C108=""),"",IFERROR(INDEX('Evaluation table'!$B$4:$F$8,MATCH(TRIM(SUBSTITUTE(B108,"’","'")),'Evaluation table'!$A$4:$A$8,0),MATCH(TRIM(SUBSTITUTE(C108,"’","'")),'Evaluation table'!$B$3:$F$3,0)),"?"))</f>
        <v/>
      </c>
      <c r="O108" s="11">
        <f>IF(OR(D108="",E108=""),"",IFERROR(INDEX('Evaluation table'!$B$4:$F$8,MATCH(TRIM(SUBSTITUTE(D108,"’","'")),'Evaluation table'!$A$4:$A$8,0),MATCH(TRIM(SUBSTITUTE(E108,"’","'")),'Evaluation table'!$B$3:$F$3,0)),"?"))</f>
        <v/>
      </c>
      <c r="P108" s="11">
        <f>IF(OR(F108="",G108=""),"",IFERROR(INDEX('Evaluation table'!$B$4:$F$8,MATCH(TRIM(SUBSTITUTE(F108,"’","'")),'Evaluation table'!$A$4:$A$8,0),MATCH(TRIM(SUBSTITUTE(G108,"’","'")),'Evaluation table'!$B$3:$F$3,0)),"?"))</f>
        <v/>
      </c>
      <c r="Q108" s="11">
        <f>IF(OR(H108="",I108=""),"",IFERROR(INDEX('Evaluation table'!$B$4:$F$8,MATCH(TRIM(SUBSTITUTE(H108,"’","'")),'Evaluation table'!$A$4:$A$8,0),MATCH(TRIM(SUBSTITUTE(I108,"’","'")),'Evaluation table'!$B$3:$F$3,0)),"?"))</f>
        <v/>
      </c>
      <c r="R108" s="11">
        <f>IF(OR(J108="",K108=""),"",IFERROR(INDEX('Evaluation table'!$B$4:$F$8,MATCH(TRIM(SUBSTITUTE(J108,"’","'")),'Evaluation table'!$A$4:$A$8,0),MATCH(TRIM(SUBSTITUTE(K108,"’","'")),'Evaluation table'!$B$3:$F$3,0)),"?"))</f>
        <v/>
      </c>
      <c r="S108" s="11">
        <f>IF(OR(L108="",M108=""),"",IFERROR(INDEX('Evaluation table'!$B$4:$F$8,MATCH(TRIM(SUBSTITUTE(L108,"’","'")),'Evaluation table'!$A$4:$A$8,0),MATCH(TRIM(SUBSTITUTE(M108,"’","'")),'Evaluation table'!$B$3:$F$3,0)),"?"))</f>
        <v/>
      </c>
    </row>
    <row r="109">
      <c r="A109" s="2" t="n">
        <v>91</v>
      </c>
      <c r="B109" s="10" t="inlineStr">
        <is>
          <t>I like it</t>
        </is>
      </c>
      <c r="C109" s="10" t="inlineStr">
        <is>
          <t>I dislike it</t>
        </is>
      </c>
      <c r="D109" s="10" t="inlineStr">
        <is>
          <t>I like it</t>
        </is>
      </c>
      <c r="E109" s="10" t="inlineStr">
        <is>
          <t>I dislike it</t>
        </is>
      </c>
      <c r="F109" s="10" t="inlineStr">
        <is>
          <t>I'm neutral</t>
        </is>
      </c>
      <c r="G109" s="10" t="inlineStr">
        <is>
          <t>I'm neutral</t>
        </is>
      </c>
      <c r="H109" s="10" t="inlineStr">
        <is>
          <t>I expect it</t>
        </is>
      </c>
      <c r="I109" s="10" t="inlineStr">
        <is>
          <t>I'm neutral</t>
        </is>
      </c>
      <c r="J109" s="10" t="inlineStr">
        <is>
          <t>I can tolerate it</t>
        </is>
      </c>
      <c r="K109" s="10" t="inlineStr">
        <is>
          <t>I can tolerate it</t>
        </is>
      </c>
      <c r="L109" s="10" t="inlineStr">
        <is>
          <t>I can tolerate it</t>
        </is>
      </c>
      <c r="M109" s="10" t="inlineStr">
        <is>
          <t>I'm neutral</t>
        </is>
      </c>
      <c r="N109" s="11">
        <f>IF(OR(B109="",C109=""),"",IFERROR(INDEX('Evaluation table'!$B$4:$F$8,MATCH(TRIM(SUBSTITUTE(B109,"’","'")),'Evaluation table'!$A$4:$A$8,0),MATCH(TRIM(SUBSTITUTE(C109,"’","'")),'Evaluation table'!$B$3:$F$3,0)),"?"))</f>
        <v/>
      </c>
      <c r="O109" s="11">
        <f>IF(OR(D109="",E109=""),"",IFERROR(INDEX('Evaluation table'!$B$4:$F$8,MATCH(TRIM(SUBSTITUTE(D109,"’","'")),'Evaluation table'!$A$4:$A$8,0),MATCH(TRIM(SUBSTITUTE(E109,"’","'")),'Evaluation table'!$B$3:$F$3,0)),"?"))</f>
        <v/>
      </c>
      <c r="P109" s="11">
        <f>IF(OR(F109="",G109=""),"",IFERROR(INDEX('Evaluation table'!$B$4:$F$8,MATCH(TRIM(SUBSTITUTE(F109,"’","'")),'Evaluation table'!$A$4:$A$8,0),MATCH(TRIM(SUBSTITUTE(G109,"’","'")),'Evaluation table'!$B$3:$F$3,0)),"?"))</f>
        <v/>
      </c>
      <c r="Q109" s="11">
        <f>IF(OR(H109="",I109=""),"",IFERROR(INDEX('Evaluation table'!$B$4:$F$8,MATCH(TRIM(SUBSTITUTE(H109,"’","'")),'Evaluation table'!$A$4:$A$8,0),MATCH(TRIM(SUBSTITUTE(I109,"’","'")),'Evaluation table'!$B$3:$F$3,0)),"?"))</f>
        <v/>
      </c>
      <c r="R109" s="11">
        <f>IF(OR(J109="",K109=""),"",IFERROR(INDEX('Evaluation table'!$B$4:$F$8,MATCH(TRIM(SUBSTITUTE(J109,"’","'")),'Evaluation table'!$A$4:$A$8,0),MATCH(TRIM(SUBSTITUTE(K109,"’","'")),'Evaluation table'!$B$3:$F$3,0)),"?"))</f>
        <v/>
      </c>
      <c r="S109" s="11">
        <f>IF(OR(L109="",M109=""),"",IFERROR(INDEX('Evaluation table'!$B$4:$F$8,MATCH(TRIM(SUBSTITUTE(L109,"’","'")),'Evaluation table'!$A$4:$A$8,0),MATCH(TRIM(SUBSTITUTE(M109,"’","'")),'Evaluation table'!$B$3:$F$3,0)),"?"))</f>
        <v/>
      </c>
    </row>
    <row r="110">
      <c r="A110" s="2" t="n">
        <v>92</v>
      </c>
      <c r="B110" s="10" t="inlineStr">
        <is>
          <t>I like it</t>
        </is>
      </c>
      <c r="C110" s="10" t="inlineStr">
        <is>
          <t>I dislike it</t>
        </is>
      </c>
      <c r="D110" s="10" t="inlineStr">
        <is>
          <t>I like it</t>
        </is>
      </c>
      <c r="E110" s="10" t="inlineStr">
        <is>
          <t>I dislike it</t>
        </is>
      </c>
      <c r="F110" s="10" t="inlineStr">
        <is>
          <t>I expect it</t>
        </is>
      </c>
      <c r="G110" s="10" t="inlineStr">
        <is>
          <t>I dislike it</t>
        </is>
      </c>
      <c r="H110" s="10" t="inlineStr">
        <is>
          <t>I can tolerate it</t>
        </is>
      </c>
      <c r="I110" s="10" t="inlineStr">
        <is>
          <t>I'm neutral</t>
        </is>
      </c>
      <c r="J110" s="10" t="inlineStr">
        <is>
          <t>I like it</t>
        </is>
      </c>
      <c r="K110" s="10" t="inlineStr">
        <is>
          <t>I dislike it</t>
        </is>
      </c>
      <c r="L110" s="10" t="inlineStr">
        <is>
          <t>I'm neutral</t>
        </is>
      </c>
      <c r="M110" s="10" t="inlineStr">
        <is>
          <t>I'm neutral</t>
        </is>
      </c>
      <c r="N110" s="11">
        <f>IF(OR(B110="",C110=""),"",IFERROR(INDEX('Evaluation table'!$B$4:$F$8,MATCH(TRIM(SUBSTITUTE(B110,"’","'")),'Evaluation table'!$A$4:$A$8,0),MATCH(TRIM(SUBSTITUTE(C110,"’","'")),'Evaluation table'!$B$3:$F$3,0)),"?"))</f>
        <v/>
      </c>
      <c r="O110" s="11">
        <f>IF(OR(D110="",E110=""),"",IFERROR(INDEX('Evaluation table'!$B$4:$F$8,MATCH(TRIM(SUBSTITUTE(D110,"’","'")),'Evaluation table'!$A$4:$A$8,0),MATCH(TRIM(SUBSTITUTE(E110,"’","'")),'Evaluation table'!$B$3:$F$3,0)),"?"))</f>
        <v/>
      </c>
      <c r="P110" s="11">
        <f>IF(OR(F110="",G110=""),"",IFERROR(INDEX('Evaluation table'!$B$4:$F$8,MATCH(TRIM(SUBSTITUTE(F110,"’","'")),'Evaluation table'!$A$4:$A$8,0),MATCH(TRIM(SUBSTITUTE(G110,"’","'")),'Evaluation table'!$B$3:$F$3,0)),"?"))</f>
        <v/>
      </c>
      <c r="Q110" s="11">
        <f>IF(OR(H110="",I110=""),"",IFERROR(INDEX('Evaluation table'!$B$4:$F$8,MATCH(TRIM(SUBSTITUTE(H110,"’","'")),'Evaluation table'!$A$4:$A$8,0),MATCH(TRIM(SUBSTITUTE(I110,"’","'")),'Evaluation table'!$B$3:$F$3,0)),"?"))</f>
        <v/>
      </c>
      <c r="R110" s="11">
        <f>IF(OR(J110="",K110=""),"",IFERROR(INDEX('Evaluation table'!$B$4:$F$8,MATCH(TRIM(SUBSTITUTE(J110,"’","'")),'Evaluation table'!$A$4:$A$8,0),MATCH(TRIM(SUBSTITUTE(K110,"’","'")),'Evaluation table'!$B$3:$F$3,0)),"?"))</f>
        <v/>
      </c>
      <c r="S110" s="11">
        <f>IF(OR(L110="",M110=""),"",IFERROR(INDEX('Evaluation table'!$B$4:$F$8,MATCH(TRIM(SUBSTITUTE(L110,"’","'")),'Evaluation table'!$A$4:$A$8,0),MATCH(TRIM(SUBSTITUTE(M110,"’","'")),'Evaluation table'!$B$3:$F$3,0)),"?"))</f>
        <v/>
      </c>
    </row>
    <row r="111">
      <c r="A111" s="2" t="n">
        <v>93</v>
      </c>
      <c r="B111" s="10" t="inlineStr">
        <is>
          <t>I expect it</t>
        </is>
      </c>
      <c r="C111" s="10" t="inlineStr">
        <is>
          <t>I dislike it</t>
        </is>
      </c>
      <c r="D111" s="10" t="inlineStr">
        <is>
          <t>I like it</t>
        </is>
      </c>
      <c r="E111" s="10" t="inlineStr">
        <is>
          <t>I dislike it</t>
        </is>
      </c>
      <c r="F111" s="10" t="inlineStr">
        <is>
          <t>I like it</t>
        </is>
      </c>
      <c r="G111" s="10" t="inlineStr">
        <is>
          <t>I'm neutral</t>
        </is>
      </c>
      <c r="H111" s="10" t="inlineStr">
        <is>
          <t>I like it</t>
        </is>
      </c>
      <c r="I111" s="10" t="inlineStr">
        <is>
          <t>I'm neutral</t>
        </is>
      </c>
      <c r="J111" s="10" t="inlineStr">
        <is>
          <t>I dislike it</t>
        </is>
      </c>
      <c r="K111" s="10" t="inlineStr">
        <is>
          <t>I can tolerate it</t>
        </is>
      </c>
      <c r="L111" s="10" t="inlineStr">
        <is>
          <t>I expect it</t>
        </is>
      </c>
      <c r="M111" s="10" t="inlineStr">
        <is>
          <t>I dislike it</t>
        </is>
      </c>
      <c r="N111" s="11">
        <f>IF(OR(B111="",C111=""),"",IFERROR(INDEX('Evaluation table'!$B$4:$F$8,MATCH(TRIM(SUBSTITUTE(B111,"’","'")),'Evaluation table'!$A$4:$A$8,0),MATCH(TRIM(SUBSTITUTE(C111,"’","'")),'Evaluation table'!$B$3:$F$3,0)),"?"))</f>
        <v/>
      </c>
      <c r="O111" s="11">
        <f>IF(OR(D111="",E111=""),"",IFERROR(INDEX('Evaluation table'!$B$4:$F$8,MATCH(TRIM(SUBSTITUTE(D111,"’","'")),'Evaluation table'!$A$4:$A$8,0),MATCH(TRIM(SUBSTITUTE(E111,"’","'")),'Evaluation table'!$B$3:$F$3,0)),"?"))</f>
        <v/>
      </c>
      <c r="P111" s="11">
        <f>IF(OR(F111="",G111=""),"",IFERROR(INDEX('Evaluation table'!$B$4:$F$8,MATCH(TRIM(SUBSTITUTE(F111,"’","'")),'Evaluation table'!$A$4:$A$8,0),MATCH(TRIM(SUBSTITUTE(G111,"’","'")),'Evaluation table'!$B$3:$F$3,0)),"?"))</f>
        <v/>
      </c>
      <c r="Q111" s="11">
        <f>IF(OR(H111="",I111=""),"",IFERROR(INDEX('Evaluation table'!$B$4:$F$8,MATCH(TRIM(SUBSTITUTE(H111,"’","'")),'Evaluation table'!$A$4:$A$8,0),MATCH(TRIM(SUBSTITUTE(I111,"’","'")),'Evaluation table'!$B$3:$F$3,0)),"?"))</f>
        <v/>
      </c>
      <c r="R111" s="11">
        <f>IF(OR(J111="",K111=""),"",IFERROR(INDEX('Evaluation table'!$B$4:$F$8,MATCH(TRIM(SUBSTITUTE(J111,"’","'")),'Evaluation table'!$A$4:$A$8,0),MATCH(TRIM(SUBSTITUTE(K111,"’","'")),'Evaluation table'!$B$3:$F$3,0)),"?"))</f>
        <v/>
      </c>
      <c r="S111" s="11">
        <f>IF(OR(L111="",M111=""),"",IFERROR(INDEX('Evaluation table'!$B$4:$F$8,MATCH(TRIM(SUBSTITUTE(L111,"’","'")),'Evaluation table'!$A$4:$A$8,0),MATCH(TRIM(SUBSTITUTE(M111,"’","'")),'Evaluation table'!$B$3:$F$3,0)),"?"))</f>
        <v/>
      </c>
    </row>
    <row r="112">
      <c r="A112" s="2" t="n">
        <v>94</v>
      </c>
      <c r="B112" s="10" t="inlineStr">
        <is>
          <t>I expect it</t>
        </is>
      </c>
      <c r="C112" s="10" t="inlineStr">
        <is>
          <t>I dislike it</t>
        </is>
      </c>
      <c r="D112" s="10" t="inlineStr">
        <is>
          <t>I'm neutral</t>
        </is>
      </c>
      <c r="E112" s="10" t="inlineStr">
        <is>
          <t>I'm neutral</t>
        </is>
      </c>
      <c r="F112" s="10" t="inlineStr">
        <is>
          <t>I like it</t>
        </is>
      </c>
      <c r="G112" s="10" t="inlineStr">
        <is>
          <t>I'm neutral</t>
        </is>
      </c>
      <c r="H112" s="10" t="inlineStr">
        <is>
          <t>I like it</t>
        </is>
      </c>
      <c r="I112" s="10" t="inlineStr">
        <is>
          <t>I dislike it</t>
        </is>
      </c>
      <c r="J112" s="10" t="inlineStr">
        <is>
          <t>I dislike it</t>
        </is>
      </c>
      <c r="K112" s="10" t="inlineStr">
        <is>
          <t>I'm neutral</t>
        </is>
      </c>
      <c r="L112" s="10" t="inlineStr">
        <is>
          <t>I like it</t>
        </is>
      </c>
      <c r="M112" s="10" t="inlineStr">
        <is>
          <t>I dislike it</t>
        </is>
      </c>
      <c r="N112" s="11">
        <f>IF(OR(B112="",C112=""),"",IFERROR(INDEX('Evaluation table'!$B$4:$F$8,MATCH(TRIM(SUBSTITUTE(B112,"’","'")),'Evaluation table'!$A$4:$A$8,0),MATCH(TRIM(SUBSTITUTE(C112,"’","'")),'Evaluation table'!$B$3:$F$3,0)),"?"))</f>
        <v/>
      </c>
      <c r="O112" s="11">
        <f>IF(OR(D112="",E112=""),"",IFERROR(INDEX('Evaluation table'!$B$4:$F$8,MATCH(TRIM(SUBSTITUTE(D112,"’","'")),'Evaluation table'!$A$4:$A$8,0),MATCH(TRIM(SUBSTITUTE(E112,"’","'")),'Evaluation table'!$B$3:$F$3,0)),"?"))</f>
        <v/>
      </c>
      <c r="P112" s="11">
        <f>IF(OR(F112="",G112=""),"",IFERROR(INDEX('Evaluation table'!$B$4:$F$8,MATCH(TRIM(SUBSTITUTE(F112,"’","'")),'Evaluation table'!$A$4:$A$8,0),MATCH(TRIM(SUBSTITUTE(G112,"’","'")),'Evaluation table'!$B$3:$F$3,0)),"?"))</f>
        <v/>
      </c>
      <c r="Q112" s="11">
        <f>IF(OR(H112="",I112=""),"",IFERROR(INDEX('Evaluation table'!$B$4:$F$8,MATCH(TRIM(SUBSTITUTE(H112,"’","'")),'Evaluation table'!$A$4:$A$8,0),MATCH(TRIM(SUBSTITUTE(I112,"’","'")),'Evaluation table'!$B$3:$F$3,0)),"?"))</f>
        <v/>
      </c>
      <c r="R112" s="11">
        <f>IF(OR(J112="",K112=""),"",IFERROR(INDEX('Evaluation table'!$B$4:$F$8,MATCH(TRIM(SUBSTITUTE(J112,"’","'")),'Evaluation table'!$A$4:$A$8,0),MATCH(TRIM(SUBSTITUTE(K112,"’","'")),'Evaluation table'!$B$3:$F$3,0)),"?"))</f>
        <v/>
      </c>
      <c r="S112" s="11">
        <f>IF(OR(L112="",M112=""),"",IFERROR(INDEX('Evaluation table'!$B$4:$F$8,MATCH(TRIM(SUBSTITUTE(L112,"’","'")),'Evaluation table'!$A$4:$A$8,0),MATCH(TRIM(SUBSTITUTE(M112,"’","'")),'Evaluation table'!$B$3:$F$3,0)),"?"))</f>
        <v/>
      </c>
    </row>
    <row r="113">
      <c r="A113" s="2" t="n">
        <v>95</v>
      </c>
      <c r="B113" s="10" t="inlineStr">
        <is>
          <t>I like it</t>
        </is>
      </c>
      <c r="C113" s="10" t="inlineStr">
        <is>
          <t>I'm neutral</t>
        </is>
      </c>
      <c r="D113" s="10" t="inlineStr">
        <is>
          <t>I like it</t>
        </is>
      </c>
      <c r="E113" s="10" t="inlineStr">
        <is>
          <t>I dislike it</t>
        </is>
      </c>
      <c r="F113" s="10" t="inlineStr">
        <is>
          <t>I like it</t>
        </is>
      </c>
      <c r="G113" s="10" t="inlineStr">
        <is>
          <t>I can tolerate it</t>
        </is>
      </c>
      <c r="H113" s="10" t="inlineStr">
        <is>
          <t>I like it</t>
        </is>
      </c>
      <c r="I113" s="10" t="inlineStr">
        <is>
          <t>I can tolerate it</t>
        </is>
      </c>
      <c r="J113" s="10" t="inlineStr">
        <is>
          <t>I'm neutral</t>
        </is>
      </c>
      <c r="K113" s="10" t="inlineStr">
        <is>
          <t>I'm neutral</t>
        </is>
      </c>
      <c r="L113" s="10" t="inlineStr">
        <is>
          <t>I like it</t>
        </is>
      </c>
      <c r="M113" s="10" t="inlineStr">
        <is>
          <t>I dislike it</t>
        </is>
      </c>
      <c r="N113" s="11">
        <f>IF(OR(B113="",C113=""),"",IFERROR(INDEX('Evaluation table'!$B$4:$F$8,MATCH(TRIM(SUBSTITUTE(B113,"’","'")),'Evaluation table'!$A$4:$A$8,0),MATCH(TRIM(SUBSTITUTE(C113,"’","'")),'Evaluation table'!$B$3:$F$3,0)),"?"))</f>
        <v/>
      </c>
      <c r="O113" s="11">
        <f>IF(OR(D113="",E113=""),"",IFERROR(INDEX('Evaluation table'!$B$4:$F$8,MATCH(TRIM(SUBSTITUTE(D113,"’","'")),'Evaluation table'!$A$4:$A$8,0),MATCH(TRIM(SUBSTITUTE(E113,"’","'")),'Evaluation table'!$B$3:$F$3,0)),"?"))</f>
        <v/>
      </c>
      <c r="P113" s="11">
        <f>IF(OR(F113="",G113=""),"",IFERROR(INDEX('Evaluation table'!$B$4:$F$8,MATCH(TRIM(SUBSTITUTE(F113,"’","'")),'Evaluation table'!$A$4:$A$8,0),MATCH(TRIM(SUBSTITUTE(G113,"’","'")),'Evaluation table'!$B$3:$F$3,0)),"?"))</f>
        <v/>
      </c>
      <c r="Q113" s="11">
        <f>IF(OR(H113="",I113=""),"",IFERROR(INDEX('Evaluation table'!$B$4:$F$8,MATCH(TRIM(SUBSTITUTE(H113,"’","'")),'Evaluation table'!$A$4:$A$8,0),MATCH(TRIM(SUBSTITUTE(I113,"’","'")),'Evaluation table'!$B$3:$F$3,0)),"?"))</f>
        <v/>
      </c>
      <c r="R113" s="11">
        <f>IF(OR(J113="",K113=""),"",IFERROR(INDEX('Evaluation table'!$B$4:$F$8,MATCH(TRIM(SUBSTITUTE(J113,"’","'")),'Evaluation table'!$A$4:$A$8,0),MATCH(TRIM(SUBSTITUTE(K113,"’","'")),'Evaluation table'!$B$3:$F$3,0)),"?"))</f>
        <v/>
      </c>
      <c r="S113" s="11">
        <f>IF(OR(L113="",M113=""),"",IFERROR(INDEX('Evaluation table'!$B$4:$F$8,MATCH(TRIM(SUBSTITUTE(L113,"’","'")),'Evaluation table'!$A$4:$A$8,0),MATCH(TRIM(SUBSTITUTE(M113,"’","'")),'Evaluation table'!$B$3:$F$3,0)),"?"))</f>
        <v/>
      </c>
    </row>
    <row r="114">
      <c r="A114" s="2" t="n">
        <v>96</v>
      </c>
      <c r="B114" s="10" t="inlineStr">
        <is>
          <t>I expect it</t>
        </is>
      </c>
      <c r="C114" s="10" t="inlineStr">
        <is>
          <t>I dislike it</t>
        </is>
      </c>
      <c r="D114" s="10" t="inlineStr">
        <is>
          <t>I like it</t>
        </is>
      </c>
      <c r="E114" s="10" t="inlineStr">
        <is>
          <t>I dislike it</t>
        </is>
      </c>
      <c r="F114" s="10" t="inlineStr">
        <is>
          <t>I expect it</t>
        </is>
      </c>
      <c r="G114" s="10" t="inlineStr">
        <is>
          <t>I'm neutral</t>
        </is>
      </c>
      <c r="H114" s="10" t="inlineStr">
        <is>
          <t>I like it</t>
        </is>
      </c>
      <c r="I114" s="10" t="inlineStr">
        <is>
          <t>I'm neutral</t>
        </is>
      </c>
      <c r="J114" s="10" t="inlineStr">
        <is>
          <t>I expect it</t>
        </is>
      </c>
      <c r="K114" s="10" t="inlineStr">
        <is>
          <t>I dislike it</t>
        </is>
      </c>
      <c r="L114" s="10" t="inlineStr">
        <is>
          <t>I like it</t>
        </is>
      </c>
      <c r="M114" s="10" t="inlineStr">
        <is>
          <t>I dislike it</t>
        </is>
      </c>
      <c r="N114" s="11">
        <f>IF(OR(B114="",C114=""),"",IFERROR(INDEX('Evaluation table'!$B$4:$F$8,MATCH(TRIM(SUBSTITUTE(B114,"’","'")),'Evaluation table'!$A$4:$A$8,0),MATCH(TRIM(SUBSTITUTE(C114,"’","'")),'Evaluation table'!$B$3:$F$3,0)),"?"))</f>
        <v/>
      </c>
      <c r="O114" s="11">
        <f>IF(OR(D114="",E114=""),"",IFERROR(INDEX('Evaluation table'!$B$4:$F$8,MATCH(TRIM(SUBSTITUTE(D114,"’","'")),'Evaluation table'!$A$4:$A$8,0),MATCH(TRIM(SUBSTITUTE(E114,"’","'")),'Evaluation table'!$B$3:$F$3,0)),"?"))</f>
        <v/>
      </c>
      <c r="P114" s="11">
        <f>IF(OR(F114="",G114=""),"",IFERROR(INDEX('Evaluation table'!$B$4:$F$8,MATCH(TRIM(SUBSTITUTE(F114,"’","'")),'Evaluation table'!$A$4:$A$8,0),MATCH(TRIM(SUBSTITUTE(G114,"’","'")),'Evaluation table'!$B$3:$F$3,0)),"?"))</f>
        <v/>
      </c>
      <c r="Q114" s="11">
        <f>IF(OR(H114="",I114=""),"",IFERROR(INDEX('Evaluation table'!$B$4:$F$8,MATCH(TRIM(SUBSTITUTE(H114,"’","'")),'Evaluation table'!$A$4:$A$8,0),MATCH(TRIM(SUBSTITUTE(I114,"’","'")),'Evaluation table'!$B$3:$F$3,0)),"?"))</f>
        <v/>
      </c>
      <c r="R114" s="11">
        <f>IF(OR(J114="",K114=""),"",IFERROR(INDEX('Evaluation table'!$B$4:$F$8,MATCH(TRIM(SUBSTITUTE(J114,"’","'")),'Evaluation table'!$A$4:$A$8,0),MATCH(TRIM(SUBSTITUTE(K114,"’","'")),'Evaluation table'!$B$3:$F$3,0)),"?"))</f>
        <v/>
      </c>
      <c r="S114" s="11">
        <f>IF(OR(L114="",M114=""),"",IFERROR(INDEX('Evaluation table'!$B$4:$F$8,MATCH(TRIM(SUBSTITUTE(L114,"’","'")),'Evaluation table'!$A$4:$A$8,0),MATCH(TRIM(SUBSTITUTE(M114,"’","'")),'Evaluation table'!$B$3:$F$3,0)),"?"))</f>
        <v/>
      </c>
    </row>
    <row r="115">
      <c r="A115" s="2" t="n">
        <v>97</v>
      </c>
      <c r="B115" s="10" t="inlineStr">
        <is>
          <t>I'm neutral</t>
        </is>
      </c>
      <c r="C115" s="10" t="inlineStr">
        <is>
          <t>I dislike it</t>
        </is>
      </c>
      <c r="D115" s="10" t="inlineStr">
        <is>
          <t>I like it</t>
        </is>
      </c>
      <c r="E115" s="10" t="inlineStr">
        <is>
          <t>I dislike it</t>
        </is>
      </c>
      <c r="F115" s="10" t="inlineStr">
        <is>
          <t>I like it</t>
        </is>
      </c>
      <c r="G115" s="10" t="inlineStr">
        <is>
          <t>I dislike it</t>
        </is>
      </c>
      <c r="H115" s="10" t="inlineStr">
        <is>
          <t>I like it</t>
        </is>
      </c>
      <c r="I115" s="10" t="inlineStr">
        <is>
          <t>I expect it</t>
        </is>
      </c>
      <c r="J115" s="10" t="inlineStr">
        <is>
          <t>I can tolerate it</t>
        </is>
      </c>
      <c r="K115" s="10" t="inlineStr">
        <is>
          <t>I'm neutral</t>
        </is>
      </c>
      <c r="L115" s="10" t="inlineStr">
        <is>
          <t>I'm neutral</t>
        </is>
      </c>
      <c r="M115" s="10" t="inlineStr">
        <is>
          <t>I'm neutral</t>
        </is>
      </c>
      <c r="N115" s="11">
        <f>IF(OR(B115="",C115=""),"",IFERROR(INDEX('Evaluation table'!$B$4:$F$8,MATCH(TRIM(SUBSTITUTE(B115,"’","'")),'Evaluation table'!$A$4:$A$8,0),MATCH(TRIM(SUBSTITUTE(C115,"’","'")),'Evaluation table'!$B$3:$F$3,0)),"?"))</f>
        <v/>
      </c>
      <c r="O115" s="11">
        <f>IF(OR(D115="",E115=""),"",IFERROR(INDEX('Evaluation table'!$B$4:$F$8,MATCH(TRIM(SUBSTITUTE(D115,"’","'")),'Evaluation table'!$A$4:$A$8,0),MATCH(TRIM(SUBSTITUTE(E115,"’","'")),'Evaluation table'!$B$3:$F$3,0)),"?"))</f>
        <v/>
      </c>
      <c r="P115" s="11">
        <f>IF(OR(F115="",G115=""),"",IFERROR(INDEX('Evaluation table'!$B$4:$F$8,MATCH(TRIM(SUBSTITUTE(F115,"’","'")),'Evaluation table'!$A$4:$A$8,0),MATCH(TRIM(SUBSTITUTE(G115,"’","'")),'Evaluation table'!$B$3:$F$3,0)),"?"))</f>
        <v/>
      </c>
      <c r="Q115" s="11">
        <f>IF(OR(H115="",I115=""),"",IFERROR(INDEX('Evaluation table'!$B$4:$F$8,MATCH(TRIM(SUBSTITUTE(H115,"’","'")),'Evaluation table'!$A$4:$A$8,0),MATCH(TRIM(SUBSTITUTE(I115,"’","'")),'Evaluation table'!$B$3:$F$3,0)),"?"))</f>
        <v/>
      </c>
      <c r="R115" s="11">
        <f>IF(OR(J115="",K115=""),"",IFERROR(INDEX('Evaluation table'!$B$4:$F$8,MATCH(TRIM(SUBSTITUTE(J115,"’","'")),'Evaluation table'!$A$4:$A$8,0),MATCH(TRIM(SUBSTITUTE(K115,"’","'")),'Evaluation table'!$B$3:$F$3,0)),"?"))</f>
        <v/>
      </c>
      <c r="S115" s="11">
        <f>IF(OR(L115="",M115=""),"",IFERROR(INDEX('Evaluation table'!$B$4:$F$8,MATCH(TRIM(SUBSTITUTE(L115,"’","'")),'Evaluation table'!$A$4:$A$8,0),MATCH(TRIM(SUBSTITUTE(M115,"’","'")),'Evaluation table'!$B$3:$F$3,0)),"?"))</f>
        <v/>
      </c>
    </row>
    <row r="116">
      <c r="A116" s="2" t="n">
        <v>98</v>
      </c>
      <c r="B116" s="10" t="inlineStr">
        <is>
          <t>I'm neutral</t>
        </is>
      </c>
      <c r="C116" s="10" t="inlineStr">
        <is>
          <t>I dislike it</t>
        </is>
      </c>
      <c r="D116" s="10" t="inlineStr">
        <is>
          <t>I like it</t>
        </is>
      </c>
      <c r="E116" s="10" t="inlineStr">
        <is>
          <t>I can tolerate it</t>
        </is>
      </c>
      <c r="F116" s="10" t="inlineStr">
        <is>
          <t>I'm neutral</t>
        </is>
      </c>
      <c r="G116" s="10" t="inlineStr">
        <is>
          <t>I can tolerate it</t>
        </is>
      </c>
      <c r="H116" s="10" t="inlineStr">
        <is>
          <t>I dislike it</t>
        </is>
      </c>
      <c r="I116" s="10" t="inlineStr">
        <is>
          <t>I like it</t>
        </is>
      </c>
      <c r="J116" s="10" t="inlineStr">
        <is>
          <t>I expect it</t>
        </is>
      </c>
      <c r="K116" s="10" t="inlineStr">
        <is>
          <t>I dislike it</t>
        </is>
      </c>
      <c r="L116" s="10" t="inlineStr">
        <is>
          <t>I can tolerate it</t>
        </is>
      </c>
      <c r="M116" s="10" t="inlineStr">
        <is>
          <t>I like it</t>
        </is>
      </c>
      <c r="N116" s="11">
        <f>IF(OR(B116="",C116=""),"",IFERROR(INDEX('Evaluation table'!$B$4:$F$8,MATCH(TRIM(SUBSTITUTE(B116,"’","'")),'Evaluation table'!$A$4:$A$8,0),MATCH(TRIM(SUBSTITUTE(C116,"’","'")),'Evaluation table'!$B$3:$F$3,0)),"?"))</f>
        <v/>
      </c>
      <c r="O116" s="11">
        <f>IF(OR(D116="",E116=""),"",IFERROR(INDEX('Evaluation table'!$B$4:$F$8,MATCH(TRIM(SUBSTITUTE(D116,"’","'")),'Evaluation table'!$A$4:$A$8,0),MATCH(TRIM(SUBSTITUTE(E116,"’","'")),'Evaluation table'!$B$3:$F$3,0)),"?"))</f>
        <v/>
      </c>
      <c r="P116" s="11">
        <f>IF(OR(F116="",G116=""),"",IFERROR(INDEX('Evaluation table'!$B$4:$F$8,MATCH(TRIM(SUBSTITUTE(F116,"’","'")),'Evaluation table'!$A$4:$A$8,0),MATCH(TRIM(SUBSTITUTE(G116,"’","'")),'Evaluation table'!$B$3:$F$3,0)),"?"))</f>
        <v/>
      </c>
      <c r="Q116" s="11">
        <f>IF(OR(H116="",I116=""),"",IFERROR(INDEX('Evaluation table'!$B$4:$F$8,MATCH(TRIM(SUBSTITUTE(H116,"’","'")),'Evaluation table'!$A$4:$A$8,0),MATCH(TRIM(SUBSTITUTE(I116,"’","'")),'Evaluation table'!$B$3:$F$3,0)),"?"))</f>
        <v/>
      </c>
      <c r="R116" s="11">
        <f>IF(OR(J116="",K116=""),"",IFERROR(INDEX('Evaluation table'!$B$4:$F$8,MATCH(TRIM(SUBSTITUTE(J116,"’","'")),'Evaluation table'!$A$4:$A$8,0),MATCH(TRIM(SUBSTITUTE(K116,"’","'")),'Evaluation table'!$B$3:$F$3,0)),"?"))</f>
        <v/>
      </c>
      <c r="S116" s="11">
        <f>IF(OR(L116="",M116=""),"",IFERROR(INDEX('Evaluation table'!$B$4:$F$8,MATCH(TRIM(SUBSTITUTE(L116,"’","'")),'Evaluation table'!$A$4:$A$8,0),MATCH(TRIM(SUBSTITUTE(M116,"’","'")),'Evaluation table'!$B$3:$F$3,0)),"?"))</f>
        <v/>
      </c>
    </row>
    <row r="117">
      <c r="A117" s="2" t="n">
        <v>99</v>
      </c>
      <c r="B117" s="10" t="inlineStr">
        <is>
          <t>I like it</t>
        </is>
      </c>
      <c r="C117" s="10" t="inlineStr">
        <is>
          <t>I'm neutral</t>
        </is>
      </c>
      <c r="D117" s="10" t="inlineStr">
        <is>
          <t>I can tolerate it</t>
        </is>
      </c>
      <c r="E117" s="10" t="inlineStr">
        <is>
          <t>I dislike it</t>
        </is>
      </c>
      <c r="F117" s="10" t="inlineStr">
        <is>
          <t>I like it</t>
        </is>
      </c>
      <c r="G117" s="10" t="inlineStr">
        <is>
          <t>I dislike it</t>
        </is>
      </c>
      <c r="H117" s="10" t="inlineStr">
        <is>
          <t>I'm neutral</t>
        </is>
      </c>
      <c r="I117" s="10" t="inlineStr">
        <is>
          <t>I'm neutral</t>
        </is>
      </c>
      <c r="J117" s="10" t="inlineStr">
        <is>
          <t>I'm neutral</t>
        </is>
      </c>
      <c r="K117" s="10" t="inlineStr">
        <is>
          <t>I'm neutral</t>
        </is>
      </c>
      <c r="L117" s="10" t="inlineStr">
        <is>
          <t>I expect it</t>
        </is>
      </c>
      <c r="M117" s="10" t="inlineStr">
        <is>
          <t>I dislike it</t>
        </is>
      </c>
      <c r="N117" s="11">
        <f>IF(OR(B117="",C117=""),"",IFERROR(INDEX('Evaluation table'!$B$4:$F$8,MATCH(TRIM(SUBSTITUTE(B117,"’","'")),'Evaluation table'!$A$4:$A$8,0),MATCH(TRIM(SUBSTITUTE(C117,"’","'")),'Evaluation table'!$B$3:$F$3,0)),"?"))</f>
        <v/>
      </c>
      <c r="O117" s="11">
        <f>IF(OR(D117="",E117=""),"",IFERROR(INDEX('Evaluation table'!$B$4:$F$8,MATCH(TRIM(SUBSTITUTE(D117,"’","'")),'Evaluation table'!$A$4:$A$8,0),MATCH(TRIM(SUBSTITUTE(E117,"’","'")),'Evaluation table'!$B$3:$F$3,0)),"?"))</f>
        <v/>
      </c>
      <c r="P117" s="11">
        <f>IF(OR(F117="",G117=""),"",IFERROR(INDEX('Evaluation table'!$B$4:$F$8,MATCH(TRIM(SUBSTITUTE(F117,"’","'")),'Evaluation table'!$A$4:$A$8,0),MATCH(TRIM(SUBSTITUTE(G117,"’","'")),'Evaluation table'!$B$3:$F$3,0)),"?"))</f>
        <v/>
      </c>
      <c r="Q117" s="11">
        <f>IF(OR(H117="",I117=""),"",IFERROR(INDEX('Evaluation table'!$B$4:$F$8,MATCH(TRIM(SUBSTITUTE(H117,"’","'")),'Evaluation table'!$A$4:$A$8,0),MATCH(TRIM(SUBSTITUTE(I117,"’","'")),'Evaluation table'!$B$3:$F$3,0)),"?"))</f>
        <v/>
      </c>
      <c r="R117" s="11">
        <f>IF(OR(J117="",K117=""),"",IFERROR(INDEX('Evaluation table'!$B$4:$F$8,MATCH(TRIM(SUBSTITUTE(J117,"’","'")),'Evaluation table'!$A$4:$A$8,0),MATCH(TRIM(SUBSTITUTE(K117,"’","'")),'Evaluation table'!$B$3:$F$3,0)),"?"))</f>
        <v/>
      </c>
      <c r="S117" s="11">
        <f>IF(OR(L117="",M117=""),"",IFERROR(INDEX('Evaluation table'!$B$4:$F$8,MATCH(TRIM(SUBSTITUTE(L117,"’","'")),'Evaluation table'!$A$4:$A$8,0),MATCH(TRIM(SUBSTITUTE(M117,"’","'")),'Evaluation table'!$B$3:$F$3,0)),"?"))</f>
        <v/>
      </c>
    </row>
    <row r="118">
      <c r="A118" s="2" t="n">
        <v>100</v>
      </c>
      <c r="B118" s="10" t="inlineStr">
        <is>
          <t>I expect it</t>
        </is>
      </c>
      <c r="C118" s="10" t="inlineStr">
        <is>
          <t>I dislike it</t>
        </is>
      </c>
      <c r="D118" s="10" t="inlineStr">
        <is>
          <t>I'm neutral</t>
        </is>
      </c>
      <c r="E118" s="10" t="inlineStr">
        <is>
          <t>I can tolerate it</t>
        </is>
      </c>
      <c r="F118" s="10" t="inlineStr">
        <is>
          <t>I like it</t>
        </is>
      </c>
      <c r="G118" s="10" t="inlineStr">
        <is>
          <t>I dislike it</t>
        </is>
      </c>
      <c r="H118" s="10" t="inlineStr">
        <is>
          <t>I'm neutral</t>
        </is>
      </c>
      <c r="I118" s="10" t="inlineStr">
        <is>
          <t>I'm neutral</t>
        </is>
      </c>
      <c r="J118" s="10" t="inlineStr">
        <is>
          <t>I'm neutral</t>
        </is>
      </c>
      <c r="K118" s="10" t="inlineStr">
        <is>
          <t>I dislike it</t>
        </is>
      </c>
      <c r="L118" s="10" t="inlineStr">
        <is>
          <t>I dislike it</t>
        </is>
      </c>
      <c r="M118" s="10" t="inlineStr">
        <is>
          <t>I like it</t>
        </is>
      </c>
      <c r="N118" s="11">
        <f>IF(OR(B118="",C118=""),"",IFERROR(INDEX('Evaluation table'!$B$4:$F$8,MATCH(TRIM(SUBSTITUTE(B118,"’","'")),'Evaluation table'!$A$4:$A$8,0),MATCH(TRIM(SUBSTITUTE(C118,"’","'")),'Evaluation table'!$B$3:$F$3,0)),"?"))</f>
        <v/>
      </c>
      <c r="O118" s="11">
        <f>IF(OR(D118="",E118=""),"",IFERROR(INDEX('Evaluation table'!$B$4:$F$8,MATCH(TRIM(SUBSTITUTE(D118,"’","'")),'Evaluation table'!$A$4:$A$8,0),MATCH(TRIM(SUBSTITUTE(E118,"’","'")),'Evaluation table'!$B$3:$F$3,0)),"?"))</f>
        <v/>
      </c>
      <c r="P118" s="11">
        <f>IF(OR(F118="",G118=""),"",IFERROR(INDEX('Evaluation table'!$B$4:$F$8,MATCH(TRIM(SUBSTITUTE(F118,"’","'")),'Evaluation table'!$A$4:$A$8,0),MATCH(TRIM(SUBSTITUTE(G118,"’","'")),'Evaluation table'!$B$3:$F$3,0)),"?"))</f>
        <v/>
      </c>
      <c r="Q118" s="11">
        <f>IF(OR(H118="",I118=""),"",IFERROR(INDEX('Evaluation table'!$B$4:$F$8,MATCH(TRIM(SUBSTITUTE(H118,"’","'")),'Evaluation table'!$A$4:$A$8,0),MATCH(TRIM(SUBSTITUTE(I118,"’","'")),'Evaluation table'!$B$3:$F$3,0)),"?"))</f>
        <v/>
      </c>
      <c r="R118" s="11">
        <f>IF(OR(J118="",K118=""),"",IFERROR(INDEX('Evaluation table'!$B$4:$F$8,MATCH(TRIM(SUBSTITUTE(J118,"’","'")),'Evaluation table'!$A$4:$A$8,0),MATCH(TRIM(SUBSTITUTE(K118,"’","'")),'Evaluation table'!$B$3:$F$3,0)),"?"))</f>
        <v/>
      </c>
      <c r="S118" s="11">
        <f>IF(OR(L118="",M118=""),"",IFERROR(INDEX('Evaluation table'!$B$4:$F$8,MATCH(TRIM(SUBSTITUTE(L118,"’","'")),'Evaluation table'!$A$4:$A$8,0),MATCH(TRIM(SUBSTITUTE(M118,"’","'")),'Evaluation table'!$B$3:$F$3,0)),"?"))</f>
        <v/>
      </c>
    </row>
    <row r="119">
      <c r="A119" s="2" t="n">
        <v>101</v>
      </c>
      <c r="B119" s="10" t="inlineStr">
        <is>
          <t>I like it</t>
        </is>
      </c>
      <c r="C119" s="10" t="inlineStr">
        <is>
          <t>I dislike it</t>
        </is>
      </c>
      <c r="D119" s="10" t="inlineStr">
        <is>
          <t>I like it</t>
        </is>
      </c>
      <c r="E119" s="10" t="inlineStr">
        <is>
          <t>I dislike it</t>
        </is>
      </c>
      <c r="F119" s="10" t="inlineStr">
        <is>
          <t>I can tolerate it</t>
        </is>
      </c>
      <c r="G119" s="10" t="inlineStr">
        <is>
          <t>I can tolerate it</t>
        </is>
      </c>
      <c r="H119" s="10" t="inlineStr">
        <is>
          <t>I'm neutral</t>
        </is>
      </c>
      <c r="I119" s="10" t="inlineStr">
        <is>
          <t>I'm neutral</t>
        </is>
      </c>
      <c r="J119" s="10" t="inlineStr">
        <is>
          <t>I'm neutral</t>
        </is>
      </c>
      <c r="K119" s="10" t="inlineStr">
        <is>
          <t>I can tolerate it</t>
        </is>
      </c>
      <c r="L119" s="10" t="inlineStr">
        <is>
          <t>I can tolerate it</t>
        </is>
      </c>
      <c r="M119" s="10" t="inlineStr">
        <is>
          <t>I like it</t>
        </is>
      </c>
      <c r="N119" s="11">
        <f>IF(OR(B119="",C119=""),"",IFERROR(INDEX('Evaluation table'!$B$4:$F$8,MATCH(TRIM(SUBSTITUTE(B119,"’","'")),'Evaluation table'!$A$4:$A$8,0),MATCH(TRIM(SUBSTITUTE(C119,"’","'")),'Evaluation table'!$B$3:$F$3,0)),"?"))</f>
        <v/>
      </c>
      <c r="O119" s="11">
        <f>IF(OR(D119="",E119=""),"",IFERROR(INDEX('Evaluation table'!$B$4:$F$8,MATCH(TRIM(SUBSTITUTE(D119,"’","'")),'Evaluation table'!$A$4:$A$8,0),MATCH(TRIM(SUBSTITUTE(E119,"’","'")),'Evaluation table'!$B$3:$F$3,0)),"?"))</f>
        <v/>
      </c>
      <c r="P119" s="11">
        <f>IF(OR(F119="",G119=""),"",IFERROR(INDEX('Evaluation table'!$B$4:$F$8,MATCH(TRIM(SUBSTITUTE(F119,"’","'")),'Evaluation table'!$A$4:$A$8,0),MATCH(TRIM(SUBSTITUTE(G119,"’","'")),'Evaluation table'!$B$3:$F$3,0)),"?"))</f>
        <v/>
      </c>
      <c r="Q119" s="11">
        <f>IF(OR(H119="",I119=""),"",IFERROR(INDEX('Evaluation table'!$B$4:$F$8,MATCH(TRIM(SUBSTITUTE(H119,"’","'")),'Evaluation table'!$A$4:$A$8,0),MATCH(TRIM(SUBSTITUTE(I119,"’","'")),'Evaluation table'!$B$3:$F$3,0)),"?"))</f>
        <v/>
      </c>
      <c r="R119" s="11">
        <f>IF(OR(J119="",K119=""),"",IFERROR(INDEX('Evaluation table'!$B$4:$F$8,MATCH(TRIM(SUBSTITUTE(J119,"’","'")),'Evaluation table'!$A$4:$A$8,0),MATCH(TRIM(SUBSTITUTE(K119,"’","'")),'Evaluation table'!$B$3:$F$3,0)),"?"))</f>
        <v/>
      </c>
      <c r="S119" s="11">
        <f>IF(OR(L119="",M119=""),"",IFERROR(INDEX('Evaluation table'!$B$4:$F$8,MATCH(TRIM(SUBSTITUTE(L119,"’","'")),'Evaluation table'!$A$4:$A$8,0),MATCH(TRIM(SUBSTITUTE(M119,"’","'")),'Evaluation table'!$B$3:$F$3,0)),"?"))</f>
        <v/>
      </c>
    </row>
    <row r="120">
      <c r="A120" s="2" t="n">
        <v>102</v>
      </c>
      <c r="B120" s="10" t="inlineStr">
        <is>
          <t>I can tolerate it</t>
        </is>
      </c>
      <c r="C120" s="10" t="inlineStr">
        <is>
          <t>I dislike it</t>
        </is>
      </c>
      <c r="D120" s="10" t="inlineStr">
        <is>
          <t>I like it</t>
        </is>
      </c>
      <c r="E120" s="10" t="inlineStr">
        <is>
          <t>I dislike it</t>
        </is>
      </c>
      <c r="F120" s="10" t="inlineStr">
        <is>
          <t>I can tolerate it</t>
        </is>
      </c>
      <c r="G120" s="10" t="inlineStr">
        <is>
          <t>I can tolerate it</t>
        </is>
      </c>
      <c r="H120" s="10" t="inlineStr">
        <is>
          <t>I like it</t>
        </is>
      </c>
      <c r="I120" s="10" t="inlineStr">
        <is>
          <t>I'm neutral</t>
        </is>
      </c>
      <c r="J120" s="10" t="inlineStr">
        <is>
          <t>I dislike it</t>
        </is>
      </c>
      <c r="K120" s="10" t="inlineStr">
        <is>
          <t>I like it</t>
        </is>
      </c>
      <c r="L120" s="10" t="inlineStr">
        <is>
          <t>I like it</t>
        </is>
      </c>
      <c r="M120" s="10" t="inlineStr">
        <is>
          <t>I dislike it</t>
        </is>
      </c>
      <c r="N120" s="11">
        <f>IF(OR(B120="",C120=""),"",IFERROR(INDEX('Evaluation table'!$B$4:$F$8,MATCH(TRIM(SUBSTITUTE(B120,"’","'")),'Evaluation table'!$A$4:$A$8,0),MATCH(TRIM(SUBSTITUTE(C120,"’","'")),'Evaluation table'!$B$3:$F$3,0)),"?"))</f>
        <v/>
      </c>
      <c r="O120" s="11">
        <f>IF(OR(D120="",E120=""),"",IFERROR(INDEX('Evaluation table'!$B$4:$F$8,MATCH(TRIM(SUBSTITUTE(D120,"’","'")),'Evaluation table'!$A$4:$A$8,0),MATCH(TRIM(SUBSTITUTE(E120,"’","'")),'Evaluation table'!$B$3:$F$3,0)),"?"))</f>
        <v/>
      </c>
      <c r="P120" s="11">
        <f>IF(OR(F120="",G120=""),"",IFERROR(INDEX('Evaluation table'!$B$4:$F$8,MATCH(TRIM(SUBSTITUTE(F120,"’","'")),'Evaluation table'!$A$4:$A$8,0),MATCH(TRIM(SUBSTITUTE(G120,"’","'")),'Evaluation table'!$B$3:$F$3,0)),"?"))</f>
        <v/>
      </c>
      <c r="Q120" s="11">
        <f>IF(OR(H120="",I120=""),"",IFERROR(INDEX('Evaluation table'!$B$4:$F$8,MATCH(TRIM(SUBSTITUTE(H120,"’","'")),'Evaluation table'!$A$4:$A$8,0),MATCH(TRIM(SUBSTITUTE(I120,"’","'")),'Evaluation table'!$B$3:$F$3,0)),"?"))</f>
        <v/>
      </c>
      <c r="R120" s="11">
        <f>IF(OR(J120="",K120=""),"",IFERROR(INDEX('Evaluation table'!$B$4:$F$8,MATCH(TRIM(SUBSTITUTE(J120,"’","'")),'Evaluation table'!$A$4:$A$8,0),MATCH(TRIM(SUBSTITUTE(K120,"’","'")),'Evaluation table'!$B$3:$F$3,0)),"?"))</f>
        <v/>
      </c>
      <c r="S120" s="11">
        <f>IF(OR(L120="",M120=""),"",IFERROR(INDEX('Evaluation table'!$B$4:$F$8,MATCH(TRIM(SUBSTITUTE(L120,"’","'")),'Evaluation table'!$A$4:$A$8,0),MATCH(TRIM(SUBSTITUTE(M120,"’","'")),'Evaluation table'!$B$3:$F$3,0)),"?"))</f>
        <v/>
      </c>
    </row>
    <row r="121">
      <c r="A121" s="2" t="n">
        <v>103</v>
      </c>
      <c r="B121" s="10" t="inlineStr">
        <is>
          <t>I'm neutral</t>
        </is>
      </c>
      <c r="C121" s="10" t="inlineStr">
        <is>
          <t>I dislike it</t>
        </is>
      </c>
      <c r="D121" s="10" t="inlineStr">
        <is>
          <t>I like it</t>
        </is>
      </c>
      <c r="E121" s="10" t="inlineStr">
        <is>
          <t>I expect it</t>
        </is>
      </c>
      <c r="F121" s="10" t="inlineStr">
        <is>
          <t>I like it</t>
        </is>
      </c>
      <c r="G121" s="10" t="inlineStr">
        <is>
          <t>I expect it</t>
        </is>
      </c>
      <c r="H121" s="10" t="inlineStr">
        <is>
          <t>I like it</t>
        </is>
      </c>
      <c r="I121" s="10" t="inlineStr">
        <is>
          <t>I dislike it</t>
        </is>
      </c>
      <c r="J121" s="10" t="inlineStr">
        <is>
          <t>I can tolerate it</t>
        </is>
      </c>
      <c r="K121" s="10" t="inlineStr">
        <is>
          <t>I can tolerate it</t>
        </is>
      </c>
      <c r="L121" s="10" t="inlineStr">
        <is>
          <t>I like it</t>
        </is>
      </c>
      <c r="M121" s="10" t="inlineStr">
        <is>
          <t>I can tolerate it</t>
        </is>
      </c>
      <c r="N121" s="11">
        <f>IF(OR(B121="",C121=""),"",IFERROR(INDEX('Evaluation table'!$B$4:$F$8,MATCH(TRIM(SUBSTITUTE(B121,"’","'")),'Evaluation table'!$A$4:$A$8,0),MATCH(TRIM(SUBSTITUTE(C121,"’","'")),'Evaluation table'!$B$3:$F$3,0)),"?"))</f>
        <v/>
      </c>
      <c r="O121" s="11">
        <f>IF(OR(D121="",E121=""),"",IFERROR(INDEX('Evaluation table'!$B$4:$F$8,MATCH(TRIM(SUBSTITUTE(D121,"’","'")),'Evaluation table'!$A$4:$A$8,0),MATCH(TRIM(SUBSTITUTE(E121,"’","'")),'Evaluation table'!$B$3:$F$3,0)),"?"))</f>
        <v/>
      </c>
      <c r="P121" s="11">
        <f>IF(OR(F121="",G121=""),"",IFERROR(INDEX('Evaluation table'!$B$4:$F$8,MATCH(TRIM(SUBSTITUTE(F121,"’","'")),'Evaluation table'!$A$4:$A$8,0),MATCH(TRIM(SUBSTITUTE(G121,"’","'")),'Evaluation table'!$B$3:$F$3,0)),"?"))</f>
        <v/>
      </c>
      <c r="Q121" s="11">
        <f>IF(OR(H121="",I121=""),"",IFERROR(INDEX('Evaluation table'!$B$4:$F$8,MATCH(TRIM(SUBSTITUTE(H121,"’","'")),'Evaluation table'!$A$4:$A$8,0),MATCH(TRIM(SUBSTITUTE(I121,"’","'")),'Evaluation table'!$B$3:$F$3,0)),"?"))</f>
        <v/>
      </c>
      <c r="R121" s="11">
        <f>IF(OR(J121="",K121=""),"",IFERROR(INDEX('Evaluation table'!$B$4:$F$8,MATCH(TRIM(SUBSTITUTE(J121,"’","'")),'Evaluation table'!$A$4:$A$8,0),MATCH(TRIM(SUBSTITUTE(K121,"’","'")),'Evaluation table'!$B$3:$F$3,0)),"?"))</f>
        <v/>
      </c>
      <c r="S121" s="11">
        <f>IF(OR(L121="",M121=""),"",IFERROR(INDEX('Evaluation table'!$B$4:$F$8,MATCH(TRIM(SUBSTITUTE(L121,"’","'")),'Evaluation table'!$A$4:$A$8,0),MATCH(TRIM(SUBSTITUTE(M121,"’","'")),'Evaluation table'!$B$3:$F$3,0)),"?"))</f>
        <v/>
      </c>
    </row>
    <row r="122">
      <c r="A122" s="2" t="n">
        <v>104</v>
      </c>
      <c r="B122" s="10" t="inlineStr">
        <is>
          <t>I expect it</t>
        </is>
      </c>
      <c r="C122" s="10" t="inlineStr">
        <is>
          <t>I dislike it</t>
        </is>
      </c>
      <c r="D122" s="10" t="inlineStr">
        <is>
          <t>I expect it</t>
        </is>
      </c>
      <c r="E122" s="10" t="inlineStr">
        <is>
          <t>I dislike it</t>
        </is>
      </c>
      <c r="F122" s="10" t="inlineStr">
        <is>
          <t>I like it</t>
        </is>
      </c>
      <c r="G122" s="10" t="inlineStr">
        <is>
          <t>I'm neutral</t>
        </is>
      </c>
      <c r="H122" s="10" t="inlineStr">
        <is>
          <t>I expect it</t>
        </is>
      </c>
      <c r="I122" s="10" t="inlineStr">
        <is>
          <t>I'm neutral</t>
        </is>
      </c>
      <c r="J122" s="10" t="inlineStr">
        <is>
          <t>I'm neutral</t>
        </is>
      </c>
      <c r="K122" s="10" t="inlineStr">
        <is>
          <t>I can tolerate it</t>
        </is>
      </c>
      <c r="L122" s="10" t="inlineStr">
        <is>
          <t>I expect it</t>
        </is>
      </c>
      <c r="M122" s="10" t="inlineStr">
        <is>
          <t>I'm neutral</t>
        </is>
      </c>
      <c r="N122" s="11">
        <f>IF(OR(B122="",C122=""),"",IFERROR(INDEX('Evaluation table'!$B$4:$F$8,MATCH(TRIM(SUBSTITUTE(B122,"’","'")),'Evaluation table'!$A$4:$A$8,0),MATCH(TRIM(SUBSTITUTE(C122,"’","'")),'Evaluation table'!$B$3:$F$3,0)),"?"))</f>
        <v/>
      </c>
      <c r="O122" s="11">
        <f>IF(OR(D122="",E122=""),"",IFERROR(INDEX('Evaluation table'!$B$4:$F$8,MATCH(TRIM(SUBSTITUTE(D122,"’","'")),'Evaluation table'!$A$4:$A$8,0),MATCH(TRIM(SUBSTITUTE(E122,"’","'")),'Evaluation table'!$B$3:$F$3,0)),"?"))</f>
        <v/>
      </c>
      <c r="P122" s="11">
        <f>IF(OR(F122="",G122=""),"",IFERROR(INDEX('Evaluation table'!$B$4:$F$8,MATCH(TRIM(SUBSTITUTE(F122,"’","'")),'Evaluation table'!$A$4:$A$8,0),MATCH(TRIM(SUBSTITUTE(G122,"’","'")),'Evaluation table'!$B$3:$F$3,0)),"?"))</f>
        <v/>
      </c>
      <c r="Q122" s="11">
        <f>IF(OR(H122="",I122=""),"",IFERROR(INDEX('Evaluation table'!$B$4:$F$8,MATCH(TRIM(SUBSTITUTE(H122,"’","'")),'Evaluation table'!$A$4:$A$8,0),MATCH(TRIM(SUBSTITUTE(I122,"’","'")),'Evaluation table'!$B$3:$F$3,0)),"?"))</f>
        <v/>
      </c>
      <c r="R122" s="11">
        <f>IF(OR(J122="",K122=""),"",IFERROR(INDEX('Evaluation table'!$B$4:$F$8,MATCH(TRIM(SUBSTITUTE(J122,"’","'")),'Evaluation table'!$A$4:$A$8,0),MATCH(TRIM(SUBSTITUTE(K122,"’","'")),'Evaluation table'!$B$3:$F$3,0)),"?"))</f>
        <v/>
      </c>
      <c r="S122" s="11">
        <f>IF(OR(L122="",M122=""),"",IFERROR(INDEX('Evaluation table'!$B$4:$F$8,MATCH(TRIM(SUBSTITUTE(L122,"’","'")),'Evaluation table'!$A$4:$A$8,0),MATCH(TRIM(SUBSTITUTE(M122,"’","'")),'Evaluation table'!$B$3:$F$3,0)),"?"))</f>
        <v/>
      </c>
    </row>
    <row r="123">
      <c r="A123" s="2" t="n">
        <v>105</v>
      </c>
      <c r="B123" s="10" t="inlineStr">
        <is>
          <t>I like it</t>
        </is>
      </c>
      <c r="C123" s="10" t="inlineStr">
        <is>
          <t>I dislike it</t>
        </is>
      </c>
      <c r="D123" s="10" t="inlineStr">
        <is>
          <t>I like it</t>
        </is>
      </c>
      <c r="E123" s="10" t="inlineStr">
        <is>
          <t>I dislike it</t>
        </is>
      </c>
      <c r="F123" s="10" t="inlineStr">
        <is>
          <t>I like it</t>
        </is>
      </c>
      <c r="G123" s="10" t="inlineStr">
        <is>
          <t>I'm neutral</t>
        </is>
      </c>
      <c r="H123" s="10" t="inlineStr">
        <is>
          <t>I like it</t>
        </is>
      </c>
      <c r="I123" s="10" t="inlineStr">
        <is>
          <t>I dislike it</t>
        </is>
      </c>
      <c r="J123" s="10" t="inlineStr">
        <is>
          <t>I like it</t>
        </is>
      </c>
      <c r="K123" s="10" t="inlineStr">
        <is>
          <t>I dislike it</t>
        </is>
      </c>
      <c r="L123" s="10" t="inlineStr">
        <is>
          <t>I like it</t>
        </is>
      </c>
      <c r="M123" s="10" t="inlineStr">
        <is>
          <t>I can tolerate it</t>
        </is>
      </c>
      <c r="N123" s="11">
        <f>IF(OR(B123="",C123=""),"",IFERROR(INDEX('Evaluation table'!$B$4:$F$8,MATCH(TRIM(SUBSTITUTE(B123,"’","'")),'Evaluation table'!$A$4:$A$8,0),MATCH(TRIM(SUBSTITUTE(C123,"’","'")),'Evaluation table'!$B$3:$F$3,0)),"?"))</f>
        <v/>
      </c>
      <c r="O123" s="11">
        <f>IF(OR(D123="",E123=""),"",IFERROR(INDEX('Evaluation table'!$B$4:$F$8,MATCH(TRIM(SUBSTITUTE(D123,"’","'")),'Evaluation table'!$A$4:$A$8,0),MATCH(TRIM(SUBSTITUTE(E123,"’","'")),'Evaluation table'!$B$3:$F$3,0)),"?"))</f>
        <v/>
      </c>
      <c r="P123" s="11">
        <f>IF(OR(F123="",G123=""),"",IFERROR(INDEX('Evaluation table'!$B$4:$F$8,MATCH(TRIM(SUBSTITUTE(F123,"’","'")),'Evaluation table'!$A$4:$A$8,0),MATCH(TRIM(SUBSTITUTE(G123,"’","'")),'Evaluation table'!$B$3:$F$3,0)),"?"))</f>
        <v/>
      </c>
      <c r="Q123" s="11">
        <f>IF(OR(H123="",I123=""),"",IFERROR(INDEX('Evaluation table'!$B$4:$F$8,MATCH(TRIM(SUBSTITUTE(H123,"’","'")),'Evaluation table'!$A$4:$A$8,0),MATCH(TRIM(SUBSTITUTE(I123,"’","'")),'Evaluation table'!$B$3:$F$3,0)),"?"))</f>
        <v/>
      </c>
      <c r="R123" s="11">
        <f>IF(OR(J123="",K123=""),"",IFERROR(INDEX('Evaluation table'!$B$4:$F$8,MATCH(TRIM(SUBSTITUTE(J123,"’","'")),'Evaluation table'!$A$4:$A$8,0),MATCH(TRIM(SUBSTITUTE(K123,"’","'")),'Evaluation table'!$B$3:$F$3,0)),"?"))</f>
        <v/>
      </c>
      <c r="S123" s="11">
        <f>IF(OR(L123="",M123=""),"",IFERROR(INDEX('Evaluation table'!$B$4:$F$8,MATCH(TRIM(SUBSTITUTE(L123,"’","'")),'Evaluation table'!$A$4:$A$8,0),MATCH(TRIM(SUBSTITUTE(M123,"’","'")),'Evaluation table'!$B$3:$F$3,0)),"?"))</f>
        <v/>
      </c>
    </row>
    <row r="124">
      <c r="A124" s="2" t="n">
        <v>106</v>
      </c>
      <c r="B124" s="10" t="inlineStr">
        <is>
          <t>I expect it</t>
        </is>
      </c>
      <c r="C124" s="10" t="inlineStr">
        <is>
          <t>I dislike it</t>
        </is>
      </c>
      <c r="D124" s="10" t="inlineStr">
        <is>
          <t>I like it</t>
        </is>
      </c>
      <c r="E124" s="10" t="inlineStr">
        <is>
          <t>I can tolerate it</t>
        </is>
      </c>
      <c r="F124" s="10" t="inlineStr">
        <is>
          <t>I like it</t>
        </is>
      </c>
      <c r="G124" s="10" t="inlineStr">
        <is>
          <t>I'm neutral</t>
        </is>
      </c>
      <c r="H124" s="10" t="inlineStr">
        <is>
          <t>I like it</t>
        </is>
      </c>
      <c r="I124" s="10" t="inlineStr">
        <is>
          <t>I expect it</t>
        </is>
      </c>
      <c r="J124" s="10" t="inlineStr">
        <is>
          <t>I like it</t>
        </is>
      </c>
      <c r="K124" s="10" t="inlineStr">
        <is>
          <t>I expect it</t>
        </is>
      </c>
      <c r="L124" s="10" t="inlineStr">
        <is>
          <t>I'm neutral</t>
        </is>
      </c>
      <c r="M124" s="10" t="inlineStr">
        <is>
          <t>I'm neutral</t>
        </is>
      </c>
      <c r="N124" s="11">
        <f>IF(OR(B124="",C124=""),"",IFERROR(INDEX('Evaluation table'!$B$4:$F$8,MATCH(TRIM(SUBSTITUTE(B124,"’","'")),'Evaluation table'!$A$4:$A$8,0),MATCH(TRIM(SUBSTITUTE(C124,"’","'")),'Evaluation table'!$B$3:$F$3,0)),"?"))</f>
        <v/>
      </c>
      <c r="O124" s="11">
        <f>IF(OR(D124="",E124=""),"",IFERROR(INDEX('Evaluation table'!$B$4:$F$8,MATCH(TRIM(SUBSTITUTE(D124,"’","'")),'Evaluation table'!$A$4:$A$8,0),MATCH(TRIM(SUBSTITUTE(E124,"’","'")),'Evaluation table'!$B$3:$F$3,0)),"?"))</f>
        <v/>
      </c>
      <c r="P124" s="11">
        <f>IF(OR(F124="",G124=""),"",IFERROR(INDEX('Evaluation table'!$B$4:$F$8,MATCH(TRIM(SUBSTITUTE(F124,"’","'")),'Evaluation table'!$A$4:$A$8,0),MATCH(TRIM(SUBSTITUTE(G124,"’","'")),'Evaluation table'!$B$3:$F$3,0)),"?"))</f>
        <v/>
      </c>
      <c r="Q124" s="11">
        <f>IF(OR(H124="",I124=""),"",IFERROR(INDEX('Evaluation table'!$B$4:$F$8,MATCH(TRIM(SUBSTITUTE(H124,"’","'")),'Evaluation table'!$A$4:$A$8,0),MATCH(TRIM(SUBSTITUTE(I124,"’","'")),'Evaluation table'!$B$3:$F$3,0)),"?"))</f>
        <v/>
      </c>
      <c r="R124" s="11">
        <f>IF(OR(J124="",K124=""),"",IFERROR(INDEX('Evaluation table'!$B$4:$F$8,MATCH(TRIM(SUBSTITUTE(J124,"’","'")),'Evaluation table'!$A$4:$A$8,0),MATCH(TRIM(SUBSTITUTE(K124,"’","'")),'Evaluation table'!$B$3:$F$3,0)),"?"))</f>
        <v/>
      </c>
      <c r="S124" s="11">
        <f>IF(OR(L124="",M124=""),"",IFERROR(INDEX('Evaluation table'!$B$4:$F$8,MATCH(TRIM(SUBSTITUTE(L124,"’","'")),'Evaluation table'!$A$4:$A$8,0),MATCH(TRIM(SUBSTITUTE(M124,"’","'")),'Evaluation table'!$B$3:$F$3,0)),"?"))</f>
        <v/>
      </c>
    </row>
    <row r="125">
      <c r="A125" s="2" t="n">
        <v>107</v>
      </c>
      <c r="B125" s="10" t="inlineStr">
        <is>
          <t>I can tolerate it</t>
        </is>
      </c>
      <c r="C125" s="10" t="inlineStr">
        <is>
          <t>I dislike it</t>
        </is>
      </c>
      <c r="D125" s="10" t="inlineStr">
        <is>
          <t>I like it</t>
        </is>
      </c>
      <c r="E125" s="10" t="inlineStr">
        <is>
          <t>I dislike it</t>
        </is>
      </c>
      <c r="F125" s="10" t="inlineStr">
        <is>
          <t>I like it</t>
        </is>
      </c>
      <c r="G125" s="10" t="inlineStr">
        <is>
          <t>I'm neutral</t>
        </is>
      </c>
      <c r="H125" s="10" t="inlineStr">
        <is>
          <t>I'm neutral</t>
        </is>
      </c>
      <c r="I125" s="10" t="inlineStr">
        <is>
          <t>I'm neutral</t>
        </is>
      </c>
      <c r="J125" s="10" t="inlineStr">
        <is>
          <t>I'm neutral</t>
        </is>
      </c>
      <c r="K125" s="10" t="inlineStr">
        <is>
          <t>I'm neutral</t>
        </is>
      </c>
      <c r="L125" s="10" t="inlineStr">
        <is>
          <t>I dislike it</t>
        </is>
      </c>
      <c r="M125" s="10" t="inlineStr">
        <is>
          <t>I'm neutral</t>
        </is>
      </c>
      <c r="N125" s="11">
        <f>IF(OR(B125="",C125=""),"",IFERROR(INDEX('Evaluation table'!$B$4:$F$8,MATCH(TRIM(SUBSTITUTE(B125,"’","'")),'Evaluation table'!$A$4:$A$8,0),MATCH(TRIM(SUBSTITUTE(C125,"’","'")),'Evaluation table'!$B$3:$F$3,0)),"?"))</f>
        <v/>
      </c>
      <c r="O125" s="11">
        <f>IF(OR(D125="",E125=""),"",IFERROR(INDEX('Evaluation table'!$B$4:$F$8,MATCH(TRIM(SUBSTITUTE(D125,"’","'")),'Evaluation table'!$A$4:$A$8,0),MATCH(TRIM(SUBSTITUTE(E125,"’","'")),'Evaluation table'!$B$3:$F$3,0)),"?"))</f>
        <v/>
      </c>
      <c r="P125" s="11">
        <f>IF(OR(F125="",G125=""),"",IFERROR(INDEX('Evaluation table'!$B$4:$F$8,MATCH(TRIM(SUBSTITUTE(F125,"’","'")),'Evaluation table'!$A$4:$A$8,0),MATCH(TRIM(SUBSTITUTE(G125,"’","'")),'Evaluation table'!$B$3:$F$3,0)),"?"))</f>
        <v/>
      </c>
      <c r="Q125" s="11">
        <f>IF(OR(H125="",I125=""),"",IFERROR(INDEX('Evaluation table'!$B$4:$F$8,MATCH(TRIM(SUBSTITUTE(H125,"’","'")),'Evaluation table'!$A$4:$A$8,0),MATCH(TRIM(SUBSTITUTE(I125,"’","'")),'Evaluation table'!$B$3:$F$3,0)),"?"))</f>
        <v/>
      </c>
      <c r="R125" s="11">
        <f>IF(OR(J125="",K125=""),"",IFERROR(INDEX('Evaluation table'!$B$4:$F$8,MATCH(TRIM(SUBSTITUTE(J125,"’","'")),'Evaluation table'!$A$4:$A$8,0),MATCH(TRIM(SUBSTITUTE(K125,"’","'")),'Evaluation table'!$B$3:$F$3,0)),"?"))</f>
        <v/>
      </c>
      <c r="S125" s="11">
        <f>IF(OR(L125="",M125=""),"",IFERROR(INDEX('Evaluation table'!$B$4:$F$8,MATCH(TRIM(SUBSTITUTE(L125,"’","'")),'Evaluation table'!$A$4:$A$8,0),MATCH(TRIM(SUBSTITUTE(M125,"’","'")),'Evaluation table'!$B$3:$F$3,0)),"?"))</f>
        <v/>
      </c>
    </row>
    <row r="126">
      <c r="A126" s="2" t="n">
        <v>108</v>
      </c>
      <c r="B126" s="10" t="inlineStr">
        <is>
          <t>I'm neutral</t>
        </is>
      </c>
      <c r="C126" s="10" t="inlineStr">
        <is>
          <t>I'm neutral</t>
        </is>
      </c>
      <c r="D126" s="10" t="inlineStr">
        <is>
          <t>I like it</t>
        </is>
      </c>
      <c r="E126" s="10" t="inlineStr">
        <is>
          <t>I'm neutral</t>
        </is>
      </c>
      <c r="F126" s="10" t="inlineStr">
        <is>
          <t>I like it</t>
        </is>
      </c>
      <c r="G126" s="10" t="inlineStr">
        <is>
          <t>I can tolerate it</t>
        </is>
      </c>
      <c r="H126" s="10" t="inlineStr">
        <is>
          <t>I can tolerate it</t>
        </is>
      </c>
      <c r="I126" s="10" t="inlineStr">
        <is>
          <t>I can tolerate it</t>
        </is>
      </c>
      <c r="J126" s="10" t="inlineStr">
        <is>
          <t>I'm neutral</t>
        </is>
      </c>
      <c r="K126" s="10" t="inlineStr">
        <is>
          <t>I'm neutral</t>
        </is>
      </c>
      <c r="L126" s="10" t="inlineStr">
        <is>
          <t>I'm neutral</t>
        </is>
      </c>
      <c r="M126" s="10" t="inlineStr">
        <is>
          <t>I'm neutral</t>
        </is>
      </c>
      <c r="N126" s="11">
        <f>IF(OR(B126="",C126=""),"",IFERROR(INDEX('Evaluation table'!$B$4:$F$8,MATCH(TRIM(SUBSTITUTE(B126,"’","'")),'Evaluation table'!$A$4:$A$8,0),MATCH(TRIM(SUBSTITUTE(C126,"’","'")),'Evaluation table'!$B$3:$F$3,0)),"?"))</f>
        <v/>
      </c>
      <c r="O126" s="11">
        <f>IF(OR(D126="",E126=""),"",IFERROR(INDEX('Evaluation table'!$B$4:$F$8,MATCH(TRIM(SUBSTITUTE(D126,"’","'")),'Evaluation table'!$A$4:$A$8,0),MATCH(TRIM(SUBSTITUTE(E126,"’","'")),'Evaluation table'!$B$3:$F$3,0)),"?"))</f>
        <v/>
      </c>
      <c r="P126" s="11">
        <f>IF(OR(F126="",G126=""),"",IFERROR(INDEX('Evaluation table'!$B$4:$F$8,MATCH(TRIM(SUBSTITUTE(F126,"’","'")),'Evaluation table'!$A$4:$A$8,0),MATCH(TRIM(SUBSTITUTE(G126,"’","'")),'Evaluation table'!$B$3:$F$3,0)),"?"))</f>
        <v/>
      </c>
      <c r="Q126" s="11">
        <f>IF(OR(H126="",I126=""),"",IFERROR(INDEX('Evaluation table'!$B$4:$F$8,MATCH(TRIM(SUBSTITUTE(H126,"’","'")),'Evaluation table'!$A$4:$A$8,0),MATCH(TRIM(SUBSTITUTE(I126,"’","'")),'Evaluation table'!$B$3:$F$3,0)),"?"))</f>
        <v/>
      </c>
      <c r="R126" s="11">
        <f>IF(OR(J126="",K126=""),"",IFERROR(INDEX('Evaluation table'!$B$4:$F$8,MATCH(TRIM(SUBSTITUTE(J126,"’","'")),'Evaluation table'!$A$4:$A$8,0),MATCH(TRIM(SUBSTITUTE(K126,"’","'")),'Evaluation table'!$B$3:$F$3,0)),"?"))</f>
        <v/>
      </c>
      <c r="S126" s="11">
        <f>IF(OR(L126="",M126=""),"",IFERROR(INDEX('Evaluation table'!$B$4:$F$8,MATCH(TRIM(SUBSTITUTE(L126,"’","'")),'Evaluation table'!$A$4:$A$8,0),MATCH(TRIM(SUBSTITUTE(M126,"’","'")),'Evaluation table'!$B$3:$F$3,0)),"?"))</f>
        <v/>
      </c>
    </row>
    <row r="127">
      <c r="A127" s="2" t="n">
        <v>109</v>
      </c>
      <c r="B127" s="10" t="inlineStr">
        <is>
          <t>I like it</t>
        </is>
      </c>
      <c r="C127" s="10" t="inlineStr">
        <is>
          <t>I dislike it</t>
        </is>
      </c>
      <c r="D127" s="10" t="inlineStr">
        <is>
          <t>I'm neutral</t>
        </is>
      </c>
      <c r="E127" s="10" t="inlineStr">
        <is>
          <t>I can tolerate it</t>
        </is>
      </c>
      <c r="F127" s="10" t="inlineStr">
        <is>
          <t>I like it</t>
        </is>
      </c>
      <c r="G127" s="10" t="inlineStr">
        <is>
          <t>I'm neutral</t>
        </is>
      </c>
      <c r="H127" s="10" t="inlineStr">
        <is>
          <t>I expect it</t>
        </is>
      </c>
      <c r="I127" s="10" t="inlineStr">
        <is>
          <t>I expect it</t>
        </is>
      </c>
      <c r="J127" s="10" t="inlineStr">
        <is>
          <t>I like it</t>
        </is>
      </c>
      <c r="K127" s="10" t="inlineStr">
        <is>
          <t>I dislike it</t>
        </is>
      </c>
      <c r="L127" s="10" t="inlineStr">
        <is>
          <t>I expect it</t>
        </is>
      </c>
      <c r="M127" s="10" t="inlineStr">
        <is>
          <t>I expect it</t>
        </is>
      </c>
      <c r="N127" s="11">
        <f>IF(OR(B127="",C127=""),"",IFERROR(INDEX('Evaluation table'!$B$4:$F$8,MATCH(TRIM(SUBSTITUTE(B127,"’","'")),'Evaluation table'!$A$4:$A$8,0),MATCH(TRIM(SUBSTITUTE(C127,"’","'")),'Evaluation table'!$B$3:$F$3,0)),"?"))</f>
        <v/>
      </c>
      <c r="O127" s="11">
        <f>IF(OR(D127="",E127=""),"",IFERROR(INDEX('Evaluation table'!$B$4:$F$8,MATCH(TRIM(SUBSTITUTE(D127,"’","'")),'Evaluation table'!$A$4:$A$8,0),MATCH(TRIM(SUBSTITUTE(E127,"’","'")),'Evaluation table'!$B$3:$F$3,0)),"?"))</f>
        <v/>
      </c>
      <c r="P127" s="11">
        <f>IF(OR(F127="",G127=""),"",IFERROR(INDEX('Evaluation table'!$B$4:$F$8,MATCH(TRIM(SUBSTITUTE(F127,"’","'")),'Evaluation table'!$A$4:$A$8,0),MATCH(TRIM(SUBSTITUTE(G127,"’","'")),'Evaluation table'!$B$3:$F$3,0)),"?"))</f>
        <v/>
      </c>
      <c r="Q127" s="11">
        <f>IF(OR(H127="",I127=""),"",IFERROR(INDEX('Evaluation table'!$B$4:$F$8,MATCH(TRIM(SUBSTITUTE(H127,"’","'")),'Evaluation table'!$A$4:$A$8,0),MATCH(TRIM(SUBSTITUTE(I127,"’","'")),'Evaluation table'!$B$3:$F$3,0)),"?"))</f>
        <v/>
      </c>
      <c r="R127" s="11">
        <f>IF(OR(J127="",K127=""),"",IFERROR(INDEX('Evaluation table'!$B$4:$F$8,MATCH(TRIM(SUBSTITUTE(J127,"’","'")),'Evaluation table'!$A$4:$A$8,0),MATCH(TRIM(SUBSTITUTE(K127,"’","'")),'Evaluation table'!$B$3:$F$3,0)),"?"))</f>
        <v/>
      </c>
      <c r="S127" s="11">
        <f>IF(OR(L127="",M127=""),"",IFERROR(INDEX('Evaluation table'!$B$4:$F$8,MATCH(TRIM(SUBSTITUTE(L127,"’","'")),'Evaluation table'!$A$4:$A$8,0),MATCH(TRIM(SUBSTITUTE(M127,"’","'")),'Evaluation table'!$B$3:$F$3,0)),"?"))</f>
        <v/>
      </c>
    </row>
    <row r="128">
      <c r="A128" s="2" t="n">
        <v>110</v>
      </c>
      <c r="B128" s="10" t="inlineStr">
        <is>
          <t>I expect it</t>
        </is>
      </c>
      <c r="C128" s="10" t="inlineStr">
        <is>
          <t>I dislike it</t>
        </is>
      </c>
      <c r="D128" s="10" t="inlineStr">
        <is>
          <t>I like it</t>
        </is>
      </c>
      <c r="E128" s="10" t="inlineStr">
        <is>
          <t>I'm neutral</t>
        </is>
      </c>
      <c r="F128" s="10" t="inlineStr">
        <is>
          <t>I'm neutral</t>
        </is>
      </c>
      <c r="G128" s="10" t="inlineStr">
        <is>
          <t>I'm neutral</t>
        </is>
      </c>
      <c r="H128" s="10" t="inlineStr">
        <is>
          <t>I like it</t>
        </is>
      </c>
      <c r="I128" s="10" t="inlineStr">
        <is>
          <t>I can tolerate it</t>
        </is>
      </c>
      <c r="J128" s="10" t="inlineStr">
        <is>
          <t>I'm neutral</t>
        </is>
      </c>
      <c r="K128" s="10" t="inlineStr">
        <is>
          <t>I'm neutral</t>
        </is>
      </c>
      <c r="L128" s="10" t="inlineStr">
        <is>
          <t>I can tolerate it</t>
        </is>
      </c>
      <c r="M128" s="10" t="inlineStr">
        <is>
          <t>I can tolerate it</t>
        </is>
      </c>
      <c r="N128" s="11">
        <f>IF(OR(B128="",C128=""),"",IFERROR(INDEX('Evaluation table'!$B$4:$F$8,MATCH(TRIM(SUBSTITUTE(B128,"’","'")),'Evaluation table'!$A$4:$A$8,0),MATCH(TRIM(SUBSTITUTE(C128,"’","'")),'Evaluation table'!$B$3:$F$3,0)),"?"))</f>
        <v/>
      </c>
      <c r="O128" s="11">
        <f>IF(OR(D128="",E128=""),"",IFERROR(INDEX('Evaluation table'!$B$4:$F$8,MATCH(TRIM(SUBSTITUTE(D128,"’","'")),'Evaluation table'!$A$4:$A$8,0),MATCH(TRIM(SUBSTITUTE(E128,"’","'")),'Evaluation table'!$B$3:$F$3,0)),"?"))</f>
        <v/>
      </c>
      <c r="P128" s="11">
        <f>IF(OR(F128="",G128=""),"",IFERROR(INDEX('Evaluation table'!$B$4:$F$8,MATCH(TRIM(SUBSTITUTE(F128,"’","'")),'Evaluation table'!$A$4:$A$8,0),MATCH(TRIM(SUBSTITUTE(G128,"’","'")),'Evaluation table'!$B$3:$F$3,0)),"?"))</f>
        <v/>
      </c>
      <c r="Q128" s="11">
        <f>IF(OR(H128="",I128=""),"",IFERROR(INDEX('Evaluation table'!$B$4:$F$8,MATCH(TRIM(SUBSTITUTE(H128,"’","'")),'Evaluation table'!$A$4:$A$8,0),MATCH(TRIM(SUBSTITUTE(I128,"’","'")),'Evaluation table'!$B$3:$F$3,0)),"?"))</f>
        <v/>
      </c>
      <c r="R128" s="11">
        <f>IF(OR(J128="",K128=""),"",IFERROR(INDEX('Evaluation table'!$B$4:$F$8,MATCH(TRIM(SUBSTITUTE(J128,"’","'")),'Evaluation table'!$A$4:$A$8,0),MATCH(TRIM(SUBSTITUTE(K128,"’","'")),'Evaluation table'!$B$3:$F$3,0)),"?"))</f>
        <v/>
      </c>
      <c r="S128" s="11">
        <f>IF(OR(L128="",M128=""),"",IFERROR(INDEX('Evaluation table'!$B$4:$F$8,MATCH(TRIM(SUBSTITUTE(L128,"’","'")),'Evaluation table'!$A$4:$A$8,0),MATCH(TRIM(SUBSTITUTE(M128,"’","'")),'Evaluation table'!$B$3:$F$3,0)),"?"))</f>
        <v/>
      </c>
    </row>
    <row r="129">
      <c r="A129" s="2" t="n">
        <v>111</v>
      </c>
      <c r="B129" s="10" t="inlineStr">
        <is>
          <t>I like it</t>
        </is>
      </c>
      <c r="C129" s="10" t="inlineStr">
        <is>
          <t>I dislike it</t>
        </is>
      </c>
      <c r="D129" s="10" t="inlineStr">
        <is>
          <t>I'm neutral</t>
        </is>
      </c>
      <c r="E129" s="10" t="inlineStr">
        <is>
          <t>I dislike it</t>
        </is>
      </c>
      <c r="F129" s="10" t="inlineStr">
        <is>
          <t>I like it</t>
        </is>
      </c>
      <c r="G129" s="10" t="inlineStr">
        <is>
          <t>I can tolerate it</t>
        </is>
      </c>
      <c r="H129" s="10" t="inlineStr">
        <is>
          <t>I can tolerate it</t>
        </is>
      </c>
      <c r="I129" s="10" t="inlineStr">
        <is>
          <t>I dislike it</t>
        </is>
      </c>
      <c r="J129" s="10" t="inlineStr">
        <is>
          <t>I like it</t>
        </is>
      </c>
      <c r="K129" s="10" t="inlineStr">
        <is>
          <t>I can tolerate it</t>
        </is>
      </c>
      <c r="L129" s="10" t="inlineStr">
        <is>
          <t>I dislike it</t>
        </is>
      </c>
      <c r="M129" s="10" t="inlineStr">
        <is>
          <t>I'm neutral</t>
        </is>
      </c>
      <c r="N129" s="11">
        <f>IF(OR(B129="",C129=""),"",IFERROR(INDEX('Evaluation table'!$B$4:$F$8,MATCH(TRIM(SUBSTITUTE(B129,"’","'")),'Evaluation table'!$A$4:$A$8,0),MATCH(TRIM(SUBSTITUTE(C129,"’","'")),'Evaluation table'!$B$3:$F$3,0)),"?"))</f>
        <v/>
      </c>
      <c r="O129" s="11">
        <f>IF(OR(D129="",E129=""),"",IFERROR(INDEX('Evaluation table'!$B$4:$F$8,MATCH(TRIM(SUBSTITUTE(D129,"’","'")),'Evaluation table'!$A$4:$A$8,0),MATCH(TRIM(SUBSTITUTE(E129,"’","'")),'Evaluation table'!$B$3:$F$3,0)),"?"))</f>
        <v/>
      </c>
      <c r="P129" s="11">
        <f>IF(OR(F129="",G129=""),"",IFERROR(INDEX('Evaluation table'!$B$4:$F$8,MATCH(TRIM(SUBSTITUTE(F129,"’","'")),'Evaluation table'!$A$4:$A$8,0),MATCH(TRIM(SUBSTITUTE(G129,"’","'")),'Evaluation table'!$B$3:$F$3,0)),"?"))</f>
        <v/>
      </c>
      <c r="Q129" s="11">
        <f>IF(OR(H129="",I129=""),"",IFERROR(INDEX('Evaluation table'!$B$4:$F$8,MATCH(TRIM(SUBSTITUTE(H129,"’","'")),'Evaluation table'!$A$4:$A$8,0),MATCH(TRIM(SUBSTITUTE(I129,"’","'")),'Evaluation table'!$B$3:$F$3,0)),"?"))</f>
        <v/>
      </c>
      <c r="R129" s="11">
        <f>IF(OR(J129="",K129=""),"",IFERROR(INDEX('Evaluation table'!$B$4:$F$8,MATCH(TRIM(SUBSTITUTE(J129,"’","'")),'Evaluation table'!$A$4:$A$8,0),MATCH(TRIM(SUBSTITUTE(K129,"’","'")),'Evaluation table'!$B$3:$F$3,0)),"?"))</f>
        <v/>
      </c>
      <c r="S129" s="11">
        <f>IF(OR(L129="",M129=""),"",IFERROR(INDEX('Evaluation table'!$B$4:$F$8,MATCH(TRIM(SUBSTITUTE(L129,"’","'")),'Evaluation table'!$A$4:$A$8,0),MATCH(TRIM(SUBSTITUTE(M129,"’","'")),'Evaluation table'!$B$3:$F$3,0)),"?"))</f>
        <v/>
      </c>
    </row>
    <row r="130">
      <c r="A130" s="2" t="n">
        <v>112</v>
      </c>
      <c r="B130" s="10" t="inlineStr">
        <is>
          <t>I'm neutral</t>
        </is>
      </c>
      <c r="C130" s="10" t="inlineStr">
        <is>
          <t>I can tolerate it</t>
        </is>
      </c>
      <c r="D130" s="10" t="inlineStr">
        <is>
          <t>I can tolerate it</t>
        </is>
      </c>
      <c r="E130" s="10" t="inlineStr">
        <is>
          <t>I dislike it</t>
        </is>
      </c>
      <c r="F130" s="10" t="inlineStr">
        <is>
          <t>I'm neutral</t>
        </is>
      </c>
      <c r="G130" s="10" t="inlineStr">
        <is>
          <t>I'm neutral</t>
        </is>
      </c>
      <c r="H130" s="10" t="inlineStr">
        <is>
          <t>I like it</t>
        </is>
      </c>
      <c r="I130" s="10" t="inlineStr">
        <is>
          <t>I'm neutral</t>
        </is>
      </c>
      <c r="J130" s="10" t="inlineStr">
        <is>
          <t>I can tolerate it</t>
        </is>
      </c>
      <c r="K130" s="10" t="inlineStr">
        <is>
          <t>I can tolerate it</t>
        </is>
      </c>
      <c r="L130" s="10" t="inlineStr">
        <is>
          <t>I dislike it</t>
        </is>
      </c>
      <c r="M130" s="10" t="inlineStr">
        <is>
          <t>I like it</t>
        </is>
      </c>
      <c r="N130" s="11">
        <f>IF(OR(B130="",C130=""),"",IFERROR(INDEX('Evaluation table'!$B$4:$F$8,MATCH(TRIM(SUBSTITUTE(B130,"’","'")),'Evaluation table'!$A$4:$A$8,0),MATCH(TRIM(SUBSTITUTE(C130,"’","'")),'Evaluation table'!$B$3:$F$3,0)),"?"))</f>
        <v/>
      </c>
      <c r="O130" s="11">
        <f>IF(OR(D130="",E130=""),"",IFERROR(INDEX('Evaluation table'!$B$4:$F$8,MATCH(TRIM(SUBSTITUTE(D130,"’","'")),'Evaluation table'!$A$4:$A$8,0),MATCH(TRIM(SUBSTITUTE(E130,"’","'")),'Evaluation table'!$B$3:$F$3,0)),"?"))</f>
        <v/>
      </c>
      <c r="P130" s="11">
        <f>IF(OR(F130="",G130=""),"",IFERROR(INDEX('Evaluation table'!$B$4:$F$8,MATCH(TRIM(SUBSTITUTE(F130,"’","'")),'Evaluation table'!$A$4:$A$8,0),MATCH(TRIM(SUBSTITUTE(G130,"’","'")),'Evaluation table'!$B$3:$F$3,0)),"?"))</f>
        <v/>
      </c>
      <c r="Q130" s="11">
        <f>IF(OR(H130="",I130=""),"",IFERROR(INDEX('Evaluation table'!$B$4:$F$8,MATCH(TRIM(SUBSTITUTE(H130,"’","'")),'Evaluation table'!$A$4:$A$8,0),MATCH(TRIM(SUBSTITUTE(I130,"’","'")),'Evaluation table'!$B$3:$F$3,0)),"?"))</f>
        <v/>
      </c>
      <c r="R130" s="11">
        <f>IF(OR(J130="",K130=""),"",IFERROR(INDEX('Evaluation table'!$B$4:$F$8,MATCH(TRIM(SUBSTITUTE(J130,"’","'")),'Evaluation table'!$A$4:$A$8,0),MATCH(TRIM(SUBSTITUTE(K130,"’","'")),'Evaluation table'!$B$3:$F$3,0)),"?"))</f>
        <v/>
      </c>
      <c r="S130" s="11">
        <f>IF(OR(L130="",M130=""),"",IFERROR(INDEX('Evaluation table'!$B$4:$F$8,MATCH(TRIM(SUBSTITUTE(L130,"’","'")),'Evaluation table'!$A$4:$A$8,0),MATCH(TRIM(SUBSTITUTE(M130,"’","'")),'Evaluation table'!$B$3:$F$3,0)),"?"))</f>
        <v/>
      </c>
    </row>
    <row r="131">
      <c r="A131" s="2" t="n">
        <v>113</v>
      </c>
      <c r="B131" s="10" t="inlineStr">
        <is>
          <t>I'm neutral</t>
        </is>
      </c>
      <c r="C131" s="10" t="inlineStr">
        <is>
          <t>I dislike it</t>
        </is>
      </c>
      <c r="D131" s="10" t="inlineStr">
        <is>
          <t>I like it</t>
        </is>
      </c>
      <c r="E131" s="10" t="inlineStr">
        <is>
          <t>I dislike it</t>
        </is>
      </c>
      <c r="F131" s="10" t="inlineStr">
        <is>
          <t>I like it</t>
        </is>
      </c>
      <c r="G131" s="10" t="inlineStr">
        <is>
          <t>I'm neutral</t>
        </is>
      </c>
      <c r="H131" s="10" t="inlineStr">
        <is>
          <t>I like it</t>
        </is>
      </c>
      <c r="I131" s="10" t="inlineStr">
        <is>
          <t>I'm neutral</t>
        </is>
      </c>
      <c r="J131" s="10" t="inlineStr">
        <is>
          <t>I like it</t>
        </is>
      </c>
      <c r="K131" s="10" t="inlineStr">
        <is>
          <t>I dislike it</t>
        </is>
      </c>
      <c r="L131" s="10" t="inlineStr">
        <is>
          <t>I'm neutral</t>
        </is>
      </c>
      <c r="M131" s="10" t="inlineStr">
        <is>
          <t>I'm neutral</t>
        </is>
      </c>
      <c r="N131" s="11">
        <f>IF(OR(B131="",C131=""),"",IFERROR(INDEX('Evaluation table'!$B$4:$F$8,MATCH(TRIM(SUBSTITUTE(B131,"’","'")),'Evaluation table'!$A$4:$A$8,0),MATCH(TRIM(SUBSTITUTE(C131,"’","'")),'Evaluation table'!$B$3:$F$3,0)),"?"))</f>
        <v/>
      </c>
      <c r="O131" s="11">
        <f>IF(OR(D131="",E131=""),"",IFERROR(INDEX('Evaluation table'!$B$4:$F$8,MATCH(TRIM(SUBSTITUTE(D131,"’","'")),'Evaluation table'!$A$4:$A$8,0),MATCH(TRIM(SUBSTITUTE(E131,"’","'")),'Evaluation table'!$B$3:$F$3,0)),"?"))</f>
        <v/>
      </c>
      <c r="P131" s="11">
        <f>IF(OR(F131="",G131=""),"",IFERROR(INDEX('Evaluation table'!$B$4:$F$8,MATCH(TRIM(SUBSTITUTE(F131,"’","'")),'Evaluation table'!$A$4:$A$8,0),MATCH(TRIM(SUBSTITUTE(G131,"’","'")),'Evaluation table'!$B$3:$F$3,0)),"?"))</f>
        <v/>
      </c>
      <c r="Q131" s="11">
        <f>IF(OR(H131="",I131=""),"",IFERROR(INDEX('Evaluation table'!$B$4:$F$8,MATCH(TRIM(SUBSTITUTE(H131,"’","'")),'Evaluation table'!$A$4:$A$8,0),MATCH(TRIM(SUBSTITUTE(I131,"’","'")),'Evaluation table'!$B$3:$F$3,0)),"?"))</f>
        <v/>
      </c>
      <c r="R131" s="11">
        <f>IF(OR(J131="",K131=""),"",IFERROR(INDEX('Evaluation table'!$B$4:$F$8,MATCH(TRIM(SUBSTITUTE(J131,"’","'")),'Evaluation table'!$A$4:$A$8,0),MATCH(TRIM(SUBSTITUTE(K131,"’","'")),'Evaluation table'!$B$3:$F$3,0)),"?"))</f>
        <v/>
      </c>
      <c r="S131" s="11">
        <f>IF(OR(L131="",M131=""),"",IFERROR(INDEX('Evaluation table'!$B$4:$F$8,MATCH(TRIM(SUBSTITUTE(L131,"’","'")),'Evaluation table'!$A$4:$A$8,0),MATCH(TRIM(SUBSTITUTE(M131,"’","'")),'Evaluation table'!$B$3:$F$3,0)),"?"))</f>
        <v/>
      </c>
    </row>
    <row r="132">
      <c r="A132" s="2" t="n">
        <v>114</v>
      </c>
      <c r="B132" s="10" t="inlineStr">
        <is>
          <t>I like it</t>
        </is>
      </c>
      <c r="C132" s="10" t="inlineStr">
        <is>
          <t>I dislike it</t>
        </is>
      </c>
      <c r="D132" s="10" t="inlineStr">
        <is>
          <t>I'm neutral</t>
        </is>
      </c>
      <c r="E132" s="10" t="inlineStr">
        <is>
          <t>I can tolerate it</t>
        </is>
      </c>
      <c r="F132" s="10" t="inlineStr">
        <is>
          <t>I like it</t>
        </is>
      </c>
      <c r="G132" s="10" t="inlineStr">
        <is>
          <t>I can tolerate it</t>
        </is>
      </c>
      <c r="H132" s="10" t="inlineStr">
        <is>
          <t>I like it</t>
        </is>
      </c>
      <c r="I132" s="10" t="inlineStr">
        <is>
          <t>I dislike it</t>
        </is>
      </c>
      <c r="J132" s="10" t="inlineStr">
        <is>
          <t>I like it</t>
        </is>
      </c>
      <c r="K132" s="10" t="inlineStr">
        <is>
          <t>I expect it</t>
        </is>
      </c>
      <c r="L132" s="10" t="inlineStr">
        <is>
          <t>I'm neutral</t>
        </is>
      </c>
      <c r="M132" s="10" t="inlineStr">
        <is>
          <t>I'm neutral</t>
        </is>
      </c>
      <c r="N132" s="11">
        <f>IF(OR(B132="",C132=""),"",IFERROR(INDEX('Evaluation table'!$B$4:$F$8,MATCH(TRIM(SUBSTITUTE(B132,"’","'")),'Evaluation table'!$A$4:$A$8,0),MATCH(TRIM(SUBSTITUTE(C132,"’","'")),'Evaluation table'!$B$3:$F$3,0)),"?"))</f>
        <v/>
      </c>
      <c r="O132" s="11">
        <f>IF(OR(D132="",E132=""),"",IFERROR(INDEX('Evaluation table'!$B$4:$F$8,MATCH(TRIM(SUBSTITUTE(D132,"’","'")),'Evaluation table'!$A$4:$A$8,0),MATCH(TRIM(SUBSTITUTE(E132,"’","'")),'Evaluation table'!$B$3:$F$3,0)),"?"))</f>
        <v/>
      </c>
      <c r="P132" s="11">
        <f>IF(OR(F132="",G132=""),"",IFERROR(INDEX('Evaluation table'!$B$4:$F$8,MATCH(TRIM(SUBSTITUTE(F132,"’","'")),'Evaluation table'!$A$4:$A$8,0),MATCH(TRIM(SUBSTITUTE(G132,"’","'")),'Evaluation table'!$B$3:$F$3,0)),"?"))</f>
        <v/>
      </c>
      <c r="Q132" s="11">
        <f>IF(OR(H132="",I132=""),"",IFERROR(INDEX('Evaluation table'!$B$4:$F$8,MATCH(TRIM(SUBSTITUTE(H132,"’","'")),'Evaluation table'!$A$4:$A$8,0),MATCH(TRIM(SUBSTITUTE(I132,"’","'")),'Evaluation table'!$B$3:$F$3,0)),"?"))</f>
        <v/>
      </c>
      <c r="R132" s="11">
        <f>IF(OR(J132="",K132=""),"",IFERROR(INDEX('Evaluation table'!$B$4:$F$8,MATCH(TRIM(SUBSTITUTE(J132,"’","'")),'Evaluation table'!$A$4:$A$8,0),MATCH(TRIM(SUBSTITUTE(K132,"’","'")),'Evaluation table'!$B$3:$F$3,0)),"?"))</f>
        <v/>
      </c>
      <c r="S132" s="11">
        <f>IF(OR(L132="",M132=""),"",IFERROR(INDEX('Evaluation table'!$B$4:$F$8,MATCH(TRIM(SUBSTITUTE(L132,"’","'")),'Evaluation table'!$A$4:$A$8,0),MATCH(TRIM(SUBSTITUTE(M132,"’","'")),'Evaluation table'!$B$3:$F$3,0)),"?"))</f>
        <v/>
      </c>
    </row>
    <row r="133">
      <c r="A133" s="2" t="n">
        <v>115</v>
      </c>
      <c r="B133" s="10" t="inlineStr">
        <is>
          <t>I expect it</t>
        </is>
      </c>
      <c r="C133" s="10" t="inlineStr">
        <is>
          <t>I dislike it</t>
        </is>
      </c>
      <c r="D133" s="10" t="inlineStr">
        <is>
          <t>I like it</t>
        </is>
      </c>
      <c r="E133" s="10" t="inlineStr">
        <is>
          <t>I'm neutral</t>
        </is>
      </c>
      <c r="F133" s="10" t="inlineStr">
        <is>
          <t>I like it</t>
        </is>
      </c>
      <c r="G133" s="10" t="inlineStr">
        <is>
          <t>I dislike it</t>
        </is>
      </c>
      <c r="H133" s="10" t="inlineStr">
        <is>
          <t>I like it</t>
        </is>
      </c>
      <c r="I133" s="10" t="inlineStr">
        <is>
          <t>I can tolerate it</t>
        </is>
      </c>
      <c r="J133" s="10" t="inlineStr">
        <is>
          <t>I'm neutral</t>
        </is>
      </c>
      <c r="K133" s="10" t="inlineStr">
        <is>
          <t>I'm neutral</t>
        </is>
      </c>
      <c r="L133" s="10" t="inlineStr">
        <is>
          <t>I can tolerate it</t>
        </is>
      </c>
      <c r="M133" s="10" t="inlineStr">
        <is>
          <t>I can tolerate it</t>
        </is>
      </c>
      <c r="N133" s="11">
        <f>IF(OR(B133="",C133=""),"",IFERROR(INDEX('Evaluation table'!$B$4:$F$8,MATCH(TRIM(SUBSTITUTE(B133,"’","'")),'Evaluation table'!$A$4:$A$8,0),MATCH(TRIM(SUBSTITUTE(C133,"’","'")),'Evaluation table'!$B$3:$F$3,0)),"?"))</f>
        <v/>
      </c>
      <c r="O133" s="11">
        <f>IF(OR(D133="",E133=""),"",IFERROR(INDEX('Evaluation table'!$B$4:$F$8,MATCH(TRIM(SUBSTITUTE(D133,"’","'")),'Evaluation table'!$A$4:$A$8,0),MATCH(TRIM(SUBSTITUTE(E133,"’","'")),'Evaluation table'!$B$3:$F$3,0)),"?"))</f>
        <v/>
      </c>
      <c r="P133" s="11">
        <f>IF(OR(F133="",G133=""),"",IFERROR(INDEX('Evaluation table'!$B$4:$F$8,MATCH(TRIM(SUBSTITUTE(F133,"’","'")),'Evaluation table'!$A$4:$A$8,0),MATCH(TRIM(SUBSTITUTE(G133,"’","'")),'Evaluation table'!$B$3:$F$3,0)),"?"))</f>
        <v/>
      </c>
      <c r="Q133" s="11">
        <f>IF(OR(H133="",I133=""),"",IFERROR(INDEX('Evaluation table'!$B$4:$F$8,MATCH(TRIM(SUBSTITUTE(H133,"’","'")),'Evaluation table'!$A$4:$A$8,0),MATCH(TRIM(SUBSTITUTE(I133,"’","'")),'Evaluation table'!$B$3:$F$3,0)),"?"))</f>
        <v/>
      </c>
      <c r="R133" s="11">
        <f>IF(OR(J133="",K133=""),"",IFERROR(INDEX('Evaluation table'!$B$4:$F$8,MATCH(TRIM(SUBSTITUTE(J133,"’","'")),'Evaluation table'!$A$4:$A$8,0),MATCH(TRIM(SUBSTITUTE(K133,"’","'")),'Evaluation table'!$B$3:$F$3,0)),"?"))</f>
        <v/>
      </c>
      <c r="S133" s="11">
        <f>IF(OR(L133="",M133=""),"",IFERROR(INDEX('Evaluation table'!$B$4:$F$8,MATCH(TRIM(SUBSTITUTE(L133,"’","'")),'Evaluation table'!$A$4:$A$8,0),MATCH(TRIM(SUBSTITUTE(M133,"’","'")),'Evaluation table'!$B$3:$F$3,0)),"?"))</f>
        <v/>
      </c>
    </row>
    <row r="134">
      <c r="A134" s="2" t="n">
        <v>116</v>
      </c>
      <c r="B134" s="10" t="inlineStr">
        <is>
          <t>I like it</t>
        </is>
      </c>
      <c r="C134" s="10" t="inlineStr">
        <is>
          <t>I dislike it</t>
        </is>
      </c>
      <c r="D134" s="10" t="inlineStr">
        <is>
          <t>I like it</t>
        </is>
      </c>
      <c r="E134" s="10" t="inlineStr">
        <is>
          <t>I dislike it</t>
        </is>
      </c>
      <c r="F134" s="10" t="inlineStr">
        <is>
          <t>I like it</t>
        </is>
      </c>
      <c r="G134" s="10" t="inlineStr">
        <is>
          <t>I expect it</t>
        </is>
      </c>
      <c r="H134" s="10" t="inlineStr">
        <is>
          <t>I dislike it</t>
        </is>
      </c>
      <c r="I134" s="10" t="inlineStr">
        <is>
          <t>I'm neutral</t>
        </is>
      </c>
      <c r="J134" s="10" t="inlineStr">
        <is>
          <t>I dislike it</t>
        </is>
      </c>
      <c r="K134" s="10" t="inlineStr">
        <is>
          <t>I'm neutral</t>
        </is>
      </c>
      <c r="L134" s="10" t="inlineStr">
        <is>
          <t>I'm neutral</t>
        </is>
      </c>
      <c r="M134" s="10" t="inlineStr">
        <is>
          <t>I'm neutral</t>
        </is>
      </c>
      <c r="N134" s="11">
        <f>IF(OR(B134="",C134=""),"",IFERROR(INDEX('Evaluation table'!$B$4:$F$8,MATCH(TRIM(SUBSTITUTE(B134,"’","'")),'Evaluation table'!$A$4:$A$8,0),MATCH(TRIM(SUBSTITUTE(C134,"’","'")),'Evaluation table'!$B$3:$F$3,0)),"?"))</f>
        <v/>
      </c>
      <c r="O134" s="11">
        <f>IF(OR(D134="",E134=""),"",IFERROR(INDEX('Evaluation table'!$B$4:$F$8,MATCH(TRIM(SUBSTITUTE(D134,"’","'")),'Evaluation table'!$A$4:$A$8,0),MATCH(TRIM(SUBSTITUTE(E134,"’","'")),'Evaluation table'!$B$3:$F$3,0)),"?"))</f>
        <v/>
      </c>
      <c r="P134" s="11">
        <f>IF(OR(F134="",G134=""),"",IFERROR(INDEX('Evaluation table'!$B$4:$F$8,MATCH(TRIM(SUBSTITUTE(F134,"’","'")),'Evaluation table'!$A$4:$A$8,0),MATCH(TRIM(SUBSTITUTE(G134,"’","'")),'Evaluation table'!$B$3:$F$3,0)),"?"))</f>
        <v/>
      </c>
      <c r="Q134" s="11">
        <f>IF(OR(H134="",I134=""),"",IFERROR(INDEX('Evaluation table'!$B$4:$F$8,MATCH(TRIM(SUBSTITUTE(H134,"’","'")),'Evaluation table'!$A$4:$A$8,0),MATCH(TRIM(SUBSTITUTE(I134,"’","'")),'Evaluation table'!$B$3:$F$3,0)),"?"))</f>
        <v/>
      </c>
      <c r="R134" s="11">
        <f>IF(OR(J134="",K134=""),"",IFERROR(INDEX('Evaluation table'!$B$4:$F$8,MATCH(TRIM(SUBSTITUTE(J134,"’","'")),'Evaluation table'!$A$4:$A$8,0),MATCH(TRIM(SUBSTITUTE(K134,"’","'")),'Evaluation table'!$B$3:$F$3,0)),"?"))</f>
        <v/>
      </c>
      <c r="S134" s="11">
        <f>IF(OR(L134="",M134=""),"",IFERROR(INDEX('Evaluation table'!$B$4:$F$8,MATCH(TRIM(SUBSTITUTE(L134,"’","'")),'Evaluation table'!$A$4:$A$8,0),MATCH(TRIM(SUBSTITUTE(M134,"’","'")),'Evaluation table'!$B$3:$F$3,0)),"?"))</f>
        <v/>
      </c>
    </row>
    <row r="135">
      <c r="A135" s="2" t="n">
        <v>117</v>
      </c>
      <c r="B135" s="10" t="inlineStr">
        <is>
          <t>I expect it</t>
        </is>
      </c>
      <c r="C135" s="10" t="inlineStr">
        <is>
          <t>I dislike it</t>
        </is>
      </c>
      <c r="D135" s="10" t="inlineStr">
        <is>
          <t>I can tolerate it</t>
        </is>
      </c>
      <c r="E135" s="10" t="inlineStr">
        <is>
          <t>I dislike it</t>
        </is>
      </c>
      <c r="F135" s="10" t="inlineStr">
        <is>
          <t>I like it</t>
        </is>
      </c>
      <c r="G135" s="10" t="inlineStr">
        <is>
          <t>I dislike it</t>
        </is>
      </c>
      <c r="H135" s="10" t="inlineStr">
        <is>
          <t>I like it</t>
        </is>
      </c>
      <c r="I135" s="10" t="inlineStr">
        <is>
          <t>I can tolerate it</t>
        </is>
      </c>
      <c r="J135" s="10" t="inlineStr">
        <is>
          <t>I like it</t>
        </is>
      </c>
      <c r="K135" s="10" t="inlineStr">
        <is>
          <t>I'm neutral</t>
        </is>
      </c>
      <c r="L135" s="10" t="inlineStr">
        <is>
          <t>I like it</t>
        </is>
      </c>
      <c r="M135" s="10" t="inlineStr">
        <is>
          <t>I can tolerate it</t>
        </is>
      </c>
      <c r="N135" s="11">
        <f>IF(OR(B135="",C135=""),"",IFERROR(INDEX('Evaluation table'!$B$4:$F$8,MATCH(TRIM(SUBSTITUTE(B135,"’","'")),'Evaluation table'!$A$4:$A$8,0),MATCH(TRIM(SUBSTITUTE(C135,"’","'")),'Evaluation table'!$B$3:$F$3,0)),"?"))</f>
        <v/>
      </c>
      <c r="O135" s="11">
        <f>IF(OR(D135="",E135=""),"",IFERROR(INDEX('Evaluation table'!$B$4:$F$8,MATCH(TRIM(SUBSTITUTE(D135,"’","'")),'Evaluation table'!$A$4:$A$8,0),MATCH(TRIM(SUBSTITUTE(E135,"’","'")),'Evaluation table'!$B$3:$F$3,0)),"?"))</f>
        <v/>
      </c>
      <c r="P135" s="11">
        <f>IF(OR(F135="",G135=""),"",IFERROR(INDEX('Evaluation table'!$B$4:$F$8,MATCH(TRIM(SUBSTITUTE(F135,"’","'")),'Evaluation table'!$A$4:$A$8,0),MATCH(TRIM(SUBSTITUTE(G135,"’","'")),'Evaluation table'!$B$3:$F$3,0)),"?"))</f>
        <v/>
      </c>
      <c r="Q135" s="11">
        <f>IF(OR(H135="",I135=""),"",IFERROR(INDEX('Evaluation table'!$B$4:$F$8,MATCH(TRIM(SUBSTITUTE(H135,"’","'")),'Evaluation table'!$A$4:$A$8,0),MATCH(TRIM(SUBSTITUTE(I135,"’","'")),'Evaluation table'!$B$3:$F$3,0)),"?"))</f>
        <v/>
      </c>
      <c r="R135" s="11">
        <f>IF(OR(J135="",K135=""),"",IFERROR(INDEX('Evaluation table'!$B$4:$F$8,MATCH(TRIM(SUBSTITUTE(J135,"’","'")),'Evaluation table'!$A$4:$A$8,0),MATCH(TRIM(SUBSTITUTE(K135,"’","'")),'Evaluation table'!$B$3:$F$3,0)),"?"))</f>
        <v/>
      </c>
      <c r="S135" s="11">
        <f>IF(OR(L135="",M135=""),"",IFERROR(INDEX('Evaluation table'!$B$4:$F$8,MATCH(TRIM(SUBSTITUTE(L135,"’","'")),'Evaluation table'!$A$4:$A$8,0),MATCH(TRIM(SUBSTITUTE(M135,"’","'")),'Evaluation table'!$B$3:$F$3,0)),"?"))</f>
        <v/>
      </c>
    </row>
    <row r="136">
      <c r="A136" s="2" t="n">
        <v>118</v>
      </c>
      <c r="B136" s="10" t="inlineStr">
        <is>
          <t>I expect it</t>
        </is>
      </c>
      <c r="C136" s="10" t="inlineStr">
        <is>
          <t>I dislike it</t>
        </is>
      </c>
      <c r="D136" s="10" t="inlineStr">
        <is>
          <t>I like it</t>
        </is>
      </c>
      <c r="E136" s="10" t="inlineStr">
        <is>
          <t>I can tolerate it</t>
        </is>
      </c>
      <c r="F136" s="10" t="inlineStr">
        <is>
          <t>I like it</t>
        </is>
      </c>
      <c r="G136" s="10" t="inlineStr">
        <is>
          <t>I'm neutral</t>
        </is>
      </c>
      <c r="H136" s="10" t="inlineStr">
        <is>
          <t>I'm neutral</t>
        </is>
      </c>
      <c r="I136" s="10" t="inlineStr">
        <is>
          <t>I'm neutral</t>
        </is>
      </c>
      <c r="J136" s="10" t="inlineStr">
        <is>
          <t>I like it</t>
        </is>
      </c>
      <c r="K136" s="10" t="inlineStr">
        <is>
          <t>I'm neutral</t>
        </is>
      </c>
      <c r="L136" s="10" t="inlineStr">
        <is>
          <t>I can tolerate it</t>
        </is>
      </c>
      <c r="M136" s="10" t="inlineStr">
        <is>
          <t>I can tolerate it</t>
        </is>
      </c>
      <c r="N136" s="11">
        <f>IF(OR(B136="",C136=""),"",IFERROR(INDEX('Evaluation table'!$B$4:$F$8,MATCH(TRIM(SUBSTITUTE(B136,"’","'")),'Evaluation table'!$A$4:$A$8,0),MATCH(TRIM(SUBSTITUTE(C136,"’","'")),'Evaluation table'!$B$3:$F$3,0)),"?"))</f>
        <v/>
      </c>
      <c r="O136" s="11">
        <f>IF(OR(D136="",E136=""),"",IFERROR(INDEX('Evaluation table'!$B$4:$F$8,MATCH(TRIM(SUBSTITUTE(D136,"’","'")),'Evaluation table'!$A$4:$A$8,0),MATCH(TRIM(SUBSTITUTE(E136,"’","'")),'Evaluation table'!$B$3:$F$3,0)),"?"))</f>
        <v/>
      </c>
      <c r="P136" s="11">
        <f>IF(OR(F136="",G136=""),"",IFERROR(INDEX('Evaluation table'!$B$4:$F$8,MATCH(TRIM(SUBSTITUTE(F136,"’","'")),'Evaluation table'!$A$4:$A$8,0),MATCH(TRIM(SUBSTITUTE(G136,"’","'")),'Evaluation table'!$B$3:$F$3,0)),"?"))</f>
        <v/>
      </c>
      <c r="Q136" s="11">
        <f>IF(OR(H136="",I136=""),"",IFERROR(INDEX('Evaluation table'!$B$4:$F$8,MATCH(TRIM(SUBSTITUTE(H136,"’","'")),'Evaluation table'!$A$4:$A$8,0),MATCH(TRIM(SUBSTITUTE(I136,"’","'")),'Evaluation table'!$B$3:$F$3,0)),"?"))</f>
        <v/>
      </c>
      <c r="R136" s="11">
        <f>IF(OR(J136="",K136=""),"",IFERROR(INDEX('Evaluation table'!$B$4:$F$8,MATCH(TRIM(SUBSTITUTE(J136,"’","'")),'Evaluation table'!$A$4:$A$8,0),MATCH(TRIM(SUBSTITUTE(K136,"’","'")),'Evaluation table'!$B$3:$F$3,0)),"?"))</f>
        <v/>
      </c>
      <c r="S136" s="11">
        <f>IF(OR(L136="",M136=""),"",IFERROR(INDEX('Evaluation table'!$B$4:$F$8,MATCH(TRIM(SUBSTITUTE(L136,"’","'")),'Evaluation table'!$A$4:$A$8,0),MATCH(TRIM(SUBSTITUTE(M136,"’","'")),'Evaluation table'!$B$3:$F$3,0)),"?"))</f>
        <v/>
      </c>
    </row>
    <row r="137">
      <c r="A137" s="2" t="n">
        <v>119</v>
      </c>
      <c r="B137" s="10" t="inlineStr">
        <is>
          <t>I like it</t>
        </is>
      </c>
      <c r="C137" s="10" t="inlineStr">
        <is>
          <t>I expect it</t>
        </is>
      </c>
      <c r="D137" s="10" t="inlineStr">
        <is>
          <t>I like it</t>
        </is>
      </c>
      <c r="E137" s="10" t="inlineStr">
        <is>
          <t>I'm neutral</t>
        </is>
      </c>
      <c r="F137" s="10" t="inlineStr">
        <is>
          <t>I like it</t>
        </is>
      </c>
      <c r="G137" s="10" t="inlineStr">
        <is>
          <t>I dislike it</t>
        </is>
      </c>
      <c r="H137" s="10" t="inlineStr">
        <is>
          <t>I like it</t>
        </is>
      </c>
      <c r="I137" s="10" t="inlineStr">
        <is>
          <t>I'm neutral</t>
        </is>
      </c>
      <c r="J137" s="10" t="inlineStr">
        <is>
          <t>I'm neutral</t>
        </is>
      </c>
      <c r="K137" s="10" t="inlineStr">
        <is>
          <t>I'm neutral</t>
        </is>
      </c>
      <c r="L137" s="10" t="inlineStr">
        <is>
          <t>I can tolerate it</t>
        </is>
      </c>
      <c r="M137" s="10" t="inlineStr">
        <is>
          <t>I dislike it</t>
        </is>
      </c>
      <c r="N137" s="11">
        <f>IF(OR(B137="",C137=""),"",IFERROR(INDEX('Evaluation table'!$B$4:$F$8,MATCH(TRIM(SUBSTITUTE(B137,"’","'")),'Evaluation table'!$A$4:$A$8,0),MATCH(TRIM(SUBSTITUTE(C137,"’","'")),'Evaluation table'!$B$3:$F$3,0)),"?"))</f>
        <v/>
      </c>
      <c r="O137" s="11">
        <f>IF(OR(D137="",E137=""),"",IFERROR(INDEX('Evaluation table'!$B$4:$F$8,MATCH(TRIM(SUBSTITUTE(D137,"’","'")),'Evaluation table'!$A$4:$A$8,0),MATCH(TRIM(SUBSTITUTE(E137,"’","'")),'Evaluation table'!$B$3:$F$3,0)),"?"))</f>
        <v/>
      </c>
      <c r="P137" s="11">
        <f>IF(OR(F137="",G137=""),"",IFERROR(INDEX('Evaluation table'!$B$4:$F$8,MATCH(TRIM(SUBSTITUTE(F137,"’","'")),'Evaluation table'!$A$4:$A$8,0),MATCH(TRIM(SUBSTITUTE(G137,"’","'")),'Evaluation table'!$B$3:$F$3,0)),"?"))</f>
        <v/>
      </c>
      <c r="Q137" s="11">
        <f>IF(OR(H137="",I137=""),"",IFERROR(INDEX('Evaluation table'!$B$4:$F$8,MATCH(TRIM(SUBSTITUTE(H137,"’","'")),'Evaluation table'!$A$4:$A$8,0),MATCH(TRIM(SUBSTITUTE(I137,"’","'")),'Evaluation table'!$B$3:$F$3,0)),"?"))</f>
        <v/>
      </c>
      <c r="R137" s="11">
        <f>IF(OR(J137="",K137=""),"",IFERROR(INDEX('Evaluation table'!$B$4:$F$8,MATCH(TRIM(SUBSTITUTE(J137,"’","'")),'Evaluation table'!$A$4:$A$8,0),MATCH(TRIM(SUBSTITUTE(K137,"’","'")),'Evaluation table'!$B$3:$F$3,0)),"?"))</f>
        <v/>
      </c>
      <c r="S137" s="11">
        <f>IF(OR(L137="",M137=""),"",IFERROR(INDEX('Evaluation table'!$B$4:$F$8,MATCH(TRIM(SUBSTITUTE(L137,"’","'")),'Evaluation table'!$A$4:$A$8,0),MATCH(TRIM(SUBSTITUTE(M137,"’","'")),'Evaluation table'!$B$3:$F$3,0)),"?"))</f>
        <v/>
      </c>
    </row>
    <row r="138">
      <c r="A138" s="2" t="n">
        <v>120</v>
      </c>
      <c r="B138" s="10" t="inlineStr">
        <is>
          <t>I expect it</t>
        </is>
      </c>
      <c r="C138" s="10" t="inlineStr">
        <is>
          <t>I dislike it</t>
        </is>
      </c>
      <c r="D138" s="10" t="inlineStr">
        <is>
          <t>I like it</t>
        </is>
      </c>
      <c r="E138" s="10" t="inlineStr">
        <is>
          <t>I dislike it</t>
        </is>
      </c>
      <c r="F138" s="10" t="inlineStr">
        <is>
          <t>I like it</t>
        </is>
      </c>
      <c r="G138" s="10" t="inlineStr">
        <is>
          <t>I expect it</t>
        </is>
      </c>
      <c r="H138" s="10" t="inlineStr">
        <is>
          <t>I like it</t>
        </is>
      </c>
      <c r="I138" s="10" t="inlineStr">
        <is>
          <t>I'm neutral</t>
        </is>
      </c>
      <c r="J138" s="10" t="inlineStr">
        <is>
          <t>I like it</t>
        </is>
      </c>
      <c r="K138" s="10" t="inlineStr">
        <is>
          <t>I can tolerate it</t>
        </is>
      </c>
      <c r="L138" s="10" t="inlineStr">
        <is>
          <t>I expect it</t>
        </is>
      </c>
      <c r="M138" s="10" t="inlineStr">
        <is>
          <t>I dislike it</t>
        </is>
      </c>
      <c r="N138" s="11">
        <f>IF(OR(B138="",C138=""),"",IFERROR(INDEX('Evaluation table'!$B$4:$F$8,MATCH(TRIM(SUBSTITUTE(B138,"’","'")),'Evaluation table'!$A$4:$A$8,0),MATCH(TRIM(SUBSTITUTE(C138,"’","'")),'Evaluation table'!$B$3:$F$3,0)),"?"))</f>
        <v/>
      </c>
      <c r="O138" s="11">
        <f>IF(OR(D138="",E138=""),"",IFERROR(INDEX('Evaluation table'!$B$4:$F$8,MATCH(TRIM(SUBSTITUTE(D138,"’","'")),'Evaluation table'!$A$4:$A$8,0),MATCH(TRIM(SUBSTITUTE(E138,"’","'")),'Evaluation table'!$B$3:$F$3,0)),"?"))</f>
        <v/>
      </c>
      <c r="P138" s="11">
        <f>IF(OR(F138="",G138=""),"",IFERROR(INDEX('Evaluation table'!$B$4:$F$8,MATCH(TRIM(SUBSTITUTE(F138,"’","'")),'Evaluation table'!$A$4:$A$8,0),MATCH(TRIM(SUBSTITUTE(G138,"’","'")),'Evaluation table'!$B$3:$F$3,0)),"?"))</f>
        <v/>
      </c>
      <c r="Q138" s="11">
        <f>IF(OR(H138="",I138=""),"",IFERROR(INDEX('Evaluation table'!$B$4:$F$8,MATCH(TRIM(SUBSTITUTE(H138,"’","'")),'Evaluation table'!$A$4:$A$8,0),MATCH(TRIM(SUBSTITUTE(I138,"’","'")),'Evaluation table'!$B$3:$F$3,0)),"?"))</f>
        <v/>
      </c>
      <c r="R138" s="11">
        <f>IF(OR(J138="",K138=""),"",IFERROR(INDEX('Evaluation table'!$B$4:$F$8,MATCH(TRIM(SUBSTITUTE(J138,"’","'")),'Evaluation table'!$A$4:$A$8,0),MATCH(TRIM(SUBSTITUTE(K138,"’","'")),'Evaluation table'!$B$3:$F$3,0)),"?"))</f>
        <v/>
      </c>
      <c r="S138" s="11">
        <f>IF(OR(L138="",M138=""),"",IFERROR(INDEX('Evaluation table'!$B$4:$F$8,MATCH(TRIM(SUBSTITUTE(L138,"’","'")),'Evaluation table'!$A$4:$A$8,0),MATCH(TRIM(SUBSTITUTE(M138,"’","'")),'Evaluation table'!$B$3:$F$3,0)),"?"))</f>
        <v/>
      </c>
    </row>
    <row r="139">
      <c r="A139" s="2" t="n">
        <v>121</v>
      </c>
      <c r="B139" s="10" t="inlineStr">
        <is>
          <t>I expect it</t>
        </is>
      </c>
      <c r="C139" s="10" t="inlineStr">
        <is>
          <t>I dislike it</t>
        </is>
      </c>
      <c r="D139" s="10" t="inlineStr">
        <is>
          <t>I like it</t>
        </is>
      </c>
      <c r="E139" s="10" t="inlineStr">
        <is>
          <t>I dislike it</t>
        </is>
      </c>
      <c r="F139" s="10" t="inlineStr">
        <is>
          <t>I like it</t>
        </is>
      </c>
      <c r="G139" s="10" t="inlineStr">
        <is>
          <t>I'm neutral</t>
        </is>
      </c>
      <c r="H139" s="10" t="inlineStr">
        <is>
          <t>I like it</t>
        </is>
      </c>
      <c r="I139" s="10" t="inlineStr">
        <is>
          <t>I'm neutral</t>
        </is>
      </c>
      <c r="J139" s="10" t="inlineStr">
        <is>
          <t>I expect it</t>
        </is>
      </c>
      <c r="K139" s="10" t="inlineStr">
        <is>
          <t>I'm neutral</t>
        </is>
      </c>
      <c r="L139" s="10" t="inlineStr">
        <is>
          <t>I like it</t>
        </is>
      </c>
      <c r="M139" s="10" t="inlineStr">
        <is>
          <t>I dislike it</t>
        </is>
      </c>
      <c r="N139" s="11">
        <f>IF(OR(B139="",C139=""),"",IFERROR(INDEX('Evaluation table'!$B$4:$F$8,MATCH(TRIM(SUBSTITUTE(B139,"’","'")),'Evaluation table'!$A$4:$A$8,0),MATCH(TRIM(SUBSTITUTE(C139,"’","'")),'Evaluation table'!$B$3:$F$3,0)),"?"))</f>
        <v/>
      </c>
      <c r="O139" s="11">
        <f>IF(OR(D139="",E139=""),"",IFERROR(INDEX('Evaluation table'!$B$4:$F$8,MATCH(TRIM(SUBSTITUTE(D139,"’","'")),'Evaluation table'!$A$4:$A$8,0),MATCH(TRIM(SUBSTITUTE(E139,"’","'")),'Evaluation table'!$B$3:$F$3,0)),"?"))</f>
        <v/>
      </c>
      <c r="P139" s="11">
        <f>IF(OR(F139="",G139=""),"",IFERROR(INDEX('Evaluation table'!$B$4:$F$8,MATCH(TRIM(SUBSTITUTE(F139,"’","'")),'Evaluation table'!$A$4:$A$8,0),MATCH(TRIM(SUBSTITUTE(G139,"’","'")),'Evaluation table'!$B$3:$F$3,0)),"?"))</f>
        <v/>
      </c>
      <c r="Q139" s="11">
        <f>IF(OR(H139="",I139=""),"",IFERROR(INDEX('Evaluation table'!$B$4:$F$8,MATCH(TRIM(SUBSTITUTE(H139,"’","'")),'Evaluation table'!$A$4:$A$8,0),MATCH(TRIM(SUBSTITUTE(I139,"’","'")),'Evaluation table'!$B$3:$F$3,0)),"?"))</f>
        <v/>
      </c>
      <c r="R139" s="11">
        <f>IF(OR(J139="",K139=""),"",IFERROR(INDEX('Evaluation table'!$B$4:$F$8,MATCH(TRIM(SUBSTITUTE(J139,"’","'")),'Evaluation table'!$A$4:$A$8,0),MATCH(TRIM(SUBSTITUTE(K139,"’","'")),'Evaluation table'!$B$3:$F$3,0)),"?"))</f>
        <v/>
      </c>
      <c r="S139" s="11">
        <f>IF(OR(L139="",M139=""),"",IFERROR(INDEX('Evaluation table'!$B$4:$F$8,MATCH(TRIM(SUBSTITUTE(L139,"’","'")),'Evaluation table'!$A$4:$A$8,0),MATCH(TRIM(SUBSTITUTE(M139,"’","'")),'Evaluation table'!$B$3:$F$3,0)),"?"))</f>
        <v/>
      </c>
    </row>
    <row r="140">
      <c r="A140" s="2" t="n">
        <v>122</v>
      </c>
      <c r="B140" s="10" t="inlineStr">
        <is>
          <t>I like it</t>
        </is>
      </c>
      <c r="C140" s="10" t="inlineStr">
        <is>
          <t>I dislike it</t>
        </is>
      </c>
      <c r="D140" s="10" t="inlineStr">
        <is>
          <t>I like it</t>
        </is>
      </c>
      <c r="E140" s="10" t="inlineStr">
        <is>
          <t>I dislike it</t>
        </is>
      </c>
      <c r="F140" s="10" t="inlineStr">
        <is>
          <t>I like it</t>
        </is>
      </c>
      <c r="G140" s="10" t="inlineStr">
        <is>
          <t>I expect it</t>
        </is>
      </c>
      <c r="H140" s="10" t="inlineStr">
        <is>
          <t>I'm neutral</t>
        </is>
      </c>
      <c r="I140" s="10" t="inlineStr">
        <is>
          <t>I'm neutral</t>
        </is>
      </c>
      <c r="J140" s="10" t="inlineStr">
        <is>
          <t>I can tolerate it</t>
        </is>
      </c>
      <c r="K140" s="10" t="inlineStr">
        <is>
          <t>I can tolerate it</t>
        </is>
      </c>
      <c r="L140" s="10" t="inlineStr">
        <is>
          <t>I can tolerate it</t>
        </is>
      </c>
      <c r="M140" s="10" t="inlineStr">
        <is>
          <t>I can tolerate it</t>
        </is>
      </c>
      <c r="N140" s="11">
        <f>IF(OR(B140="",C140=""),"",IFERROR(INDEX('Evaluation table'!$B$4:$F$8,MATCH(TRIM(SUBSTITUTE(B140,"’","'")),'Evaluation table'!$A$4:$A$8,0),MATCH(TRIM(SUBSTITUTE(C140,"’","'")),'Evaluation table'!$B$3:$F$3,0)),"?"))</f>
        <v/>
      </c>
      <c r="O140" s="11">
        <f>IF(OR(D140="",E140=""),"",IFERROR(INDEX('Evaluation table'!$B$4:$F$8,MATCH(TRIM(SUBSTITUTE(D140,"’","'")),'Evaluation table'!$A$4:$A$8,0),MATCH(TRIM(SUBSTITUTE(E140,"’","'")),'Evaluation table'!$B$3:$F$3,0)),"?"))</f>
        <v/>
      </c>
      <c r="P140" s="11">
        <f>IF(OR(F140="",G140=""),"",IFERROR(INDEX('Evaluation table'!$B$4:$F$8,MATCH(TRIM(SUBSTITUTE(F140,"’","'")),'Evaluation table'!$A$4:$A$8,0),MATCH(TRIM(SUBSTITUTE(G140,"’","'")),'Evaluation table'!$B$3:$F$3,0)),"?"))</f>
        <v/>
      </c>
      <c r="Q140" s="11">
        <f>IF(OR(H140="",I140=""),"",IFERROR(INDEX('Evaluation table'!$B$4:$F$8,MATCH(TRIM(SUBSTITUTE(H140,"’","'")),'Evaluation table'!$A$4:$A$8,0),MATCH(TRIM(SUBSTITUTE(I140,"’","'")),'Evaluation table'!$B$3:$F$3,0)),"?"))</f>
        <v/>
      </c>
      <c r="R140" s="11">
        <f>IF(OR(J140="",K140=""),"",IFERROR(INDEX('Evaluation table'!$B$4:$F$8,MATCH(TRIM(SUBSTITUTE(J140,"’","'")),'Evaluation table'!$A$4:$A$8,0),MATCH(TRIM(SUBSTITUTE(K140,"’","'")),'Evaluation table'!$B$3:$F$3,0)),"?"))</f>
        <v/>
      </c>
      <c r="S140" s="11">
        <f>IF(OR(L140="",M140=""),"",IFERROR(INDEX('Evaluation table'!$B$4:$F$8,MATCH(TRIM(SUBSTITUTE(L140,"’","'")),'Evaluation table'!$A$4:$A$8,0),MATCH(TRIM(SUBSTITUTE(M140,"’","'")),'Evaluation table'!$B$3:$F$3,0)),"?"))</f>
        <v/>
      </c>
    </row>
    <row r="141">
      <c r="A141" s="2" t="n">
        <v>123</v>
      </c>
      <c r="B141" s="10" t="inlineStr">
        <is>
          <t>I expect it</t>
        </is>
      </c>
      <c r="C141" s="10" t="inlineStr">
        <is>
          <t>I dislike it</t>
        </is>
      </c>
      <c r="D141" s="10" t="inlineStr">
        <is>
          <t>I like it</t>
        </is>
      </c>
      <c r="E141" s="10" t="inlineStr">
        <is>
          <t>I dislike it</t>
        </is>
      </c>
      <c r="F141" s="10" t="inlineStr">
        <is>
          <t>I like it</t>
        </is>
      </c>
      <c r="G141" s="10" t="inlineStr">
        <is>
          <t>I can tolerate it</t>
        </is>
      </c>
      <c r="H141" s="10" t="inlineStr">
        <is>
          <t>I can tolerate it</t>
        </is>
      </c>
      <c r="I141" s="10" t="inlineStr">
        <is>
          <t>I dislike it</t>
        </is>
      </c>
      <c r="J141" s="10" t="inlineStr">
        <is>
          <t>I expect it</t>
        </is>
      </c>
      <c r="K141" s="10" t="inlineStr">
        <is>
          <t>I'm neutral</t>
        </is>
      </c>
      <c r="L141" s="10" t="inlineStr">
        <is>
          <t>I can tolerate it</t>
        </is>
      </c>
      <c r="M141" s="10" t="inlineStr">
        <is>
          <t>I like it</t>
        </is>
      </c>
      <c r="N141" s="11">
        <f>IF(OR(B141="",C141=""),"",IFERROR(INDEX('Evaluation table'!$B$4:$F$8,MATCH(TRIM(SUBSTITUTE(B141,"’","'")),'Evaluation table'!$A$4:$A$8,0),MATCH(TRIM(SUBSTITUTE(C141,"’","'")),'Evaluation table'!$B$3:$F$3,0)),"?"))</f>
        <v/>
      </c>
      <c r="O141" s="11">
        <f>IF(OR(D141="",E141=""),"",IFERROR(INDEX('Evaluation table'!$B$4:$F$8,MATCH(TRIM(SUBSTITUTE(D141,"’","'")),'Evaluation table'!$A$4:$A$8,0),MATCH(TRIM(SUBSTITUTE(E141,"’","'")),'Evaluation table'!$B$3:$F$3,0)),"?"))</f>
        <v/>
      </c>
      <c r="P141" s="11">
        <f>IF(OR(F141="",G141=""),"",IFERROR(INDEX('Evaluation table'!$B$4:$F$8,MATCH(TRIM(SUBSTITUTE(F141,"’","'")),'Evaluation table'!$A$4:$A$8,0),MATCH(TRIM(SUBSTITUTE(G141,"’","'")),'Evaluation table'!$B$3:$F$3,0)),"?"))</f>
        <v/>
      </c>
      <c r="Q141" s="11">
        <f>IF(OR(H141="",I141=""),"",IFERROR(INDEX('Evaluation table'!$B$4:$F$8,MATCH(TRIM(SUBSTITUTE(H141,"’","'")),'Evaluation table'!$A$4:$A$8,0),MATCH(TRIM(SUBSTITUTE(I141,"’","'")),'Evaluation table'!$B$3:$F$3,0)),"?"))</f>
        <v/>
      </c>
      <c r="R141" s="11">
        <f>IF(OR(J141="",K141=""),"",IFERROR(INDEX('Evaluation table'!$B$4:$F$8,MATCH(TRIM(SUBSTITUTE(J141,"’","'")),'Evaluation table'!$A$4:$A$8,0),MATCH(TRIM(SUBSTITUTE(K141,"’","'")),'Evaluation table'!$B$3:$F$3,0)),"?"))</f>
        <v/>
      </c>
      <c r="S141" s="11">
        <f>IF(OR(L141="",M141=""),"",IFERROR(INDEX('Evaluation table'!$B$4:$F$8,MATCH(TRIM(SUBSTITUTE(L141,"’","'")),'Evaluation table'!$A$4:$A$8,0),MATCH(TRIM(SUBSTITUTE(M141,"’","'")),'Evaluation table'!$B$3:$F$3,0)),"?"))</f>
        <v/>
      </c>
    </row>
    <row r="142">
      <c r="A142" s="2" t="n">
        <v>124</v>
      </c>
      <c r="B142" s="10" t="inlineStr">
        <is>
          <t>I expect it</t>
        </is>
      </c>
      <c r="C142" s="10" t="inlineStr">
        <is>
          <t>I dislike it</t>
        </is>
      </c>
      <c r="D142" s="10" t="inlineStr">
        <is>
          <t>I'm neutral</t>
        </is>
      </c>
      <c r="E142" s="10" t="inlineStr">
        <is>
          <t>I dislike it</t>
        </is>
      </c>
      <c r="F142" s="10" t="inlineStr">
        <is>
          <t>I like it</t>
        </is>
      </c>
      <c r="G142" s="10" t="inlineStr">
        <is>
          <t>I dislike it</t>
        </is>
      </c>
      <c r="H142" s="10" t="inlineStr">
        <is>
          <t>I like it</t>
        </is>
      </c>
      <c r="I142" s="10" t="inlineStr">
        <is>
          <t>I'm neutral</t>
        </is>
      </c>
      <c r="J142" s="10" t="inlineStr">
        <is>
          <t>I dislike it</t>
        </is>
      </c>
      <c r="K142" s="10" t="inlineStr">
        <is>
          <t>I'm neutral</t>
        </is>
      </c>
      <c r="L142" s="10" t="inlineStr">
        <is>
          <t>I can tolerate it</t>
        </is>
      </c>
      <c r="M142" s="10" t="inlineStr">
        <is>
          <t>I'm neutral</t>
        </is>
      </c>
      <c r="N142" s="11">
        <f>IF(OR(B142="",C142=""),"",IFERROR(INDEX('Evaluation table'!$B$4:$F$8,MATCH(TRIM(SUBSTITUTE(B142,"’","'")),'Evaluation table'!$A$4:$A$8,0),MATCH(TRIM(SUBSTITUTE(C142,"’","'")),'Evaluation table'!$B$3:$F$3,0)),"?"))</f>
        <v/>
      </c>
      <c r="O142" s="11">
        <f>IF(OR(D142="",E142=""),"",IFERROR(INDEX('Evaluation table'!$B$4:$F$8,MATCH(TRIM(SUBSTITUTE(D142,"’","'")),'Evaluation table'!$A$4:$A$8,0),MATCH(TRIM(SUBSTITUTE(E142,"’","'")),'Evaluation table'!$B$3:$F$3,0)),"?"))</f>
        <v/>
      </c>
      <c r="P142" s="11">
        <f>IF(OR(F142="",G142=""),"",IFERROR(INDEX('Evaluation table'!$B$4:$F$8,MATCH(TRIM(SUBSTITUTE(F142,"’","'")),'Evaluation table'!$A$4:$A$8,0),MATCH(TRIM(SUBSTITUTE(G142,"’","'")),'Evaluation table'!$B$3:$F$3,0)),"?"))</f>
        <v/>
      </c>
      <c r="Q142" s="11">
        <f>IF(OR(H142="",I142=""),"",IFERROR(INDEX('Evaluation table'!$B$4:$F$8,MATCH(TRIM(SUBSTITUTE(H142,"’","'")),'Evaluation table'!$A$4:$A$8,0),MATCH(TRIM(SUBSTITUTE(I142,"’","'")),'Evaluation table'!$B$3:$F$3,0)),"?"))</f>
        <v/>
      </c>
      <c r="R142" s="11">
        <f>IF(OR(J142="",K142=""),"",IFERROR(INDEX('Evaluation table'!$B$4:$F$8,MATCH(TRIM(SUBSTITUTE(J142,"’","'")),'Evaluation table'!$A$4:$A$8,0),MATCH(TRIM(SUBSTITUTE(K142,"’","'")),'Evaluation table'!$B$3:$F$3,0)),"?"))</f>
        <v/>
      </c>
      <c r="S142" s="11">
        <f>IF(OR(L142="",M142=""),"",IFERROR(INDEX('Evaluation table'!$B$4:$F$8,MATCH(TRIM(SUBSTITUTE(L142,"’","'")),'Evaluation table'!$A$4:$A$8,0),MATCH(TRIM(SUBSTITUTE(M142,"’","'")),'Evaluation table'!$B$3:$F$3,0)),"?"))</f>
        <v/>
      </c>
    </row>
    <row r="143">
      <c r="A143" s="2" t="n">
        <v>125</v>
      </c>
      <c r="B143" s="10" t="inlineStr">
        <is>
          <t>I like it</t>
        </is>
      </c>
      <c r="C143" s="10" t="inlineStr">
        <is>
          <t>I dislike it</t>
        </is>
      </c>
      <c r="D143" s="10" t="inlineStr">
        <is>
          <t>I like it</t>
        </is>
      </c>
      <c r="E143" s="10" t="inlineStr">
        <is>
          <t>I dislike it</t>
        </is>
      </c>
      <c r="F143" s="10" t="inlineStr">
        <is>
          <t>I like it</t>
        </is>
      </c>
      <c r="G143" s="10" t="inlineStr">
        <is>
          <t>I dislike it</t>
        </is>
      </c>
      <c r="H143" s="10" t="inlineStr">
        <is>
          <t>I dislike it</t>
        </is>
      </c>
      <c r="I143" s="10" t="inlineStr">
        <is>
          <t>I like it</t>
        </is>
      </c>
      <c r="J143" s="10" t="inlineStr">
        <is>
          <t>I like it</t>
        </is>
      </c>
      <c r="K143" s="10" t="inlineStr">
        <is>
          <t>I expect it</t>
        </is>
      </c>
      <c r="L143" s="10" t="inlineStr">
        <is>
          <t>I dislike it</t>
        </is>
      </c>
      <c r="M143" s="10" t="inlineStr">
        <is>
          <t>I'm neutral</t>
        </is>
      </c>
      <c r="N143" s="11">
        <f>IF(OR(B143="",C143=""),"",IFERROR(INDEX('Evaluation table'!$B$4:$F$8,MATCH(TRIM(SUBSTITUTE(B143,"’","'")),'Evaluation table'!$A$4:$A$8,0),MATCH(TRIM(SUBSTITUTE(C143,"’","'")),'Evaluation table'!$B$3:$F$3,0)),"?"))</f>
        <v/>
      </c>
      <c r="O143" s="11">
        <f>IF(OR(D143="",E143=""),"",IFERROR(INDEX('Evaluation table'!$B$4:$F$8,MATCH(TRIM(SUBSTITUTE(D143,"’","'")),'Evaluation table'!$A$4:$A$8,0),MATCH(TRIM(SUBSTITUTE(E143,"’","'")),'Evaluation table'!$B$3:$F$3,0)),"?"))</f>
        <v/>
      </c>
      <c r="P143" s="11">
        <f>IF(OR(F143="",G143=""),"",IFERROR(INDEX('Evaluation table'!$B$4:$F$8,MATCH(TRIM(SUBSTITUTE(F143,"’","'")),'Evaluation table'!$A$4:$A$8,0),MATCH(TRIM(SUBSTITUTE(G143,"’","'")),'Evaluation table'!$B$3:$F$3,0)),"?"))</f>
        <v/>
      </c>
      <c r="Q143" s="11">
        <f>IF(OR(H143="",I143=""),"",IFERROR(INDEX('Evaluation table'!$B$4:$F$8,MATCH(TRIM(SUBSTITUTE(H143,"’","'")),'Evaluation table'!$A$4:$A$8,0),MATCH(TRIM(SUBSTITUTE(I143,"’","'")),'Evaluation table'!$B$3:$F$3,0)),"?"))</f>
        <v/>
      </c>
      <c r="R143" s="11">
        <f>IF(OR(J143="",K143=""),"",IFERROR(INDEX('Evaluation table'!$B$4:$F$8,MATCH(TRIM(SUBSTITUTE(J143,"’","'")),'Evaluation table'!$A$4:$A$8,0),MATCH(TRIM(SUBSTITUTE(K143,"’","'")),'Evaluation table'!$B$3:$F$3,0)),"?"))</f>
        <v/>
      </c>
      <c r="S143" s="11">
        <f>IF(OR(L143="",M143=""),"",IFERROR(INDEX('Evaluation table'!$B$4:$F$8,MATCH(TRIM(SUBSTITUTE(L143,"’","'")),'Evaluation table'!$A$4:$A$8,0),MATCH(TRIM(SUBSTITUTE(M143,"’","'")),'Evaluation table'!$B$3:$F$3,0)),"?"))</f>
        <v/>
      </c>
    </row>
    <row r="144">
      <c r="A144" s="2" t="n">
        <v>126</v>
      </c>
      <c r="B144" s="10" t="inlineStr">
        <is>
          <t>I like it</t>
        </is>
      </c>
      <c r="C144" s="10" t="inlineStr">
        <is>
          <t>I dislike it</t>
        </is>
      </c>
      <c r="D144" s="10" t="inlineStr">
        <is>
          <t>I expect it</t>
        </is>
      </c>
      <c r="E144" s="10" t="inlineStr">
        <is>
          <t>I dislike it</t>
        </is>
      </c>
      <c r="F144" s="10" t="inlineStr">
        <is>
          <t>I like it</t>
        </is>
      </c>
      <c r="G144" s="10" t="inlineStr">
        <is>
          <t>I'm neutral</t>
        </is>
      </c>
      <c r="H144" s="10" t="inlineStr">
        <is>
          <t>I like it</t>
        </is>
      </c>
      <c r="I144" s="10" t="inlineStr">
        <is>
          <t>I can tolerate it</t>
        </is>
      </c>
      <c r="J144" s="10" t="inlineStr">
        <is>
          <t>I like it</t>
        </is>
      </c>
      <c r="K144" s="10" t="inlineStr">
        <is>
          <t>I dislike it</t>
        </is>
      </c>
      <c r="L144" s="10" t="inlineStr">
        <is>
          <t>I like it</t>
        </is>
      </c>
      <c r="M144" s="10" t="inlineStr">
        <is>
          <t>I can tolerate it</t>
        </is>
      </c>
      <c r="N144" s="11">
        <f>IF(OR(B144="",C144=""),"",IFERROR(INDEX('Evaluation table'!$B$4:$F$8,MATCH(TRIM(SUBSTITUTE(B144,"’","'")),'Evaluation table'!$A$4:$A$8,0),MATCH(TRIM(SUBSTITUTE(C144,"’","'")),'Evaluation table'!$B$3:$F$3,0)),"?"))</f>
        <v/>
      </c>
      <c r="O144" s="11">
        <f>IF(OR(D144="",E144=""),"",IFERROR(INDEX('Evaluation table'!$B$4:$F$8,MATCH(TRIM(SUBSTITUTE(D144,"’","'")),'Evaluation table'!$A$4:$A$8,0),MATCH(TRIM(SUBSTITUTE(E144,"’","'")),'Evaluation table'!$B$3:$F$3,0)),"?"))</f>
        <v/>
      </c>
      <c r="P144" s="11">
        <f>IF(OR(F144="",G144=""),"",IFERROR(INDEX('Evaluation table'!$B$4:$F$8,MATCH(TRIM(SUBSTITUTE(F144,"’","'")),'Evaluation table'!$A$4:$A$8,0),MATCH(TRIM(SUBSTITUTE(G144,"’","'")),'Evaluation table'!$B$3:$F$3,0)),"?"))</f>
        <v/>
      </c>
      <c r="Q144" s="11">
        <f>IF(OR(H144="",I144=""),"",IFERROR(INDEX('Evaluation table'!$B$4:$F$8,MATCH(TRIM(SUBSTITUTE(H144,"’","'")),'Evaluation table'!$A$4:$A$8,0),MATCH(TRIM(SUBSTITUTE(I144,"’","'")),'Evaluation table'!$B$3:$F$3,0)),"?"))</f>
        <v/>
      </c>
      <c r="R144" s="11">
        <f>IF(OR(J144="",K144=""),"",IFERROR(INDEX('Evaluation table'!$B$4:$F$8,MATCH(TRIM(SUBSTITUTE(J144,"’","'")),'Evaluation table'!$A$4:$A$8,0),MATCH(TRIM(SUBSTITUTE(K144,"’","'")),'Evaluation table'!$B$3:$F$3,0)),"?"))</f>
        <v/>
      </c>
      <c r="S144" s="11">
        <f>IF(OR(L144="",M144=""),"",IFERROR(INDEX('Evaluation table'!$B$4:$F$8,MATCH(TRIM(SUBSTITUTE(L144,"’","'")),'Evaluation table'!$A$4:$A$8,0),MATCH(TRIM(SUBSTITUTE(M144,"’","'")),'Evaluation table'!$B$3:$F$3,0)),"?"))</f>
        <v/>
      </c>
    </row>
    <row r="145">
      <c r="A145" s="2" t="n">
        <v>127</v>
      </c>
      <c r="B145" s="10" t="inlineStr">
        <is>
          <t>I'm neutral</t>
        </is>
      </c>
      <c r="C145" s="10" t="inlineStr">
        <is>
          <t>I'm neutral</t>
        </is>
      </c>
      <c r="D145" s="10" t="inlineStr">
        <is>
          <t>I like it</t>
        </is>
      </c>
      <c r="E145" s="10" t="inlineStr">
        <is>
          <t>I'm neutral</t>
        </is>
      </c>
      <c r="F145" s="10" t="inlineStr">
        <is>
          <t>I'm neutral</t>
        </is>
      </c>
      <c r="G145" s="10" t="inlineStr">
        <is>
          <t>I'm neutral</t>
        </is>
      </c>
      <c r="H145" s="10" t="inlineStr">
        <is>
          <t>I expect it</t>
        </is>
      </c>
      <c r="I145" s="10" t="inlineStr">
        <is>
          <t>I dislike it</t>
        </is>
      </c>
      <c r="J145" s="10" t="inlineStr">
        <is>
          <t>I can tolerate it</t>
        </is>
      </c>
      <c r="K145" s="10" t="inlineStr">
        <is>
          <t>I can tolerate it</t>
        </is>
      </c>
      <c r="L145" s="10" t="inlineStr">
        <is>
          <t>I dislike it</t>
        </is>
      </c>
      <c r="M145" s="10" t="inlineStr">
        <is>
          <t>I can tolerate it</t>
        </is>
      </c>
      <c r="N145" s="11">
        <f>IF(OR(B145="",C145=""),"",IFERROR(INDEX('Evaluation table'!$B$4:$F$8,MATCH(TRIM(SUBSTITUTE(B145,"’","'")),'Evaluation table'!$A$4:$A$8,0),MATCH(TRIM(SUBSTITUTE(C145,"’","'")),'Evaluation table'!$B$3:$F$3,0)),"?"))</f>
        <v/>
      </c>
      <c r="O145" s="11">
        <f>IF(OR(D145="",E145=""),"",IFERROR(INDEX('Evaluation table'!$B$4:$F$8,MATCH(TRIM(SUBSTITUTE(D145,"’","'")),'Evaluation table'!$A$4:$A$8,0),MATCH(TRIM(SUBSTITUTE(E145,"’","'")),'Evaluation table'!$B$3:$F$3,0)),"?"))</f>
        <v/>
      </c>
      <c r="P145" s="11">
        <f>IF(OR(F145="",G145=""),"",IFERROR(INDEX('Evaluation table'!$B$4:$F$8,MATCH(TRIM(SUBSTITUTE(F145,"’","'")),'Evaluation table'!$A$4:$A$8,0),MATCH(TRIM(SUBSTITUTE(G145,"’","'")),'Evaluation table'!$B$3:$F$3,0)),"?"))</f>
        <v/>
      </c>
      <c r="Q145" s="11">
        <f>IF(OR(H145="",I145=""),"",IFERROR(INDEX('Evaluation table'!$B$4:$F$8,MATCH(TRIM(SUBSTITUTE(H145,"’","'")),'Evaluation table'!$A$4:$A$8,0),MATCH(TRIM(SUBSTITUTE(I145,"’","'")),'Evaluation table'!$B$3:$F$3,0)),"?"))</f>
        <v/>
      </c>
      <c r="R145" s="11">
        <f>IF(OR(J145="",K145=""),"",IFERROR(INDEX('Evaluation table'!$B$4:$F$8,MATCH(TRIM(SUBSTITUTE(J145,"’","'")),'Evaluation table'!$A$4:$A$8,0),MATCH(TRIM(SUBSTITUTE(K145,"’","'")),'Evaluation table'!$B$3:$F$3,0)),"?"))</f>
        <v/>
      </c>
      <c r="S145" s="11">
        <f>IF(OR(L145="",M145=""),"",IFERROR(INDEX('Evaluation table'!$B$4:$F$8,MATCH(TRIM(SUBSTITUTE(L145,"’","'")),'Evaluation table'!$A$4:$A$8,0),MATCH(TRIM(SUBSTITUTE(M145,"’","'")),'Evaluation table'!$B$3:$F$3,0)),"?"))</f>
        <v/>
      </c>
    </row>
    <row r="146">
      <c r="A146" s="2" t="n">
        <v>128</v>
      </c>
      <c r="B146" s="10" t="inlineStr">
        <is>
          <t>I like it</t>
        </is>
      </c>
      <c r="C146" s="10" t="inlineStr">
        <is>
          <t>I dislike it</t>
        </is>
      </c>
      <c r="D146" s="10" t="inlineStr">
        <is>
          <t>I like it</t>
        </is>
      </c>
      <c r="E146" s="10" t="inlineStr">
        <is>
          <t>I dislike it</t>
        </is>
      </c>
      <c r="F146" s="10" t="inlineStr">
        <is>
          <t>I like it</t>
        </is>
      </c>
      <c r="G146" s="10" t="inlineStr">
        <is>
          <t>I'm neutral</t>
        </is>
      </c>
      <c r="H146" s="10" t="inlineStr">
        <is>
          <t>I can tolerate it</t>
        </is>
      </c>
      <c r="I146" s="10" t="inlineStr">
        <is>
          <t>I'm neutral</t>
        </is>
      </c>
      <c r="J146" s="10" t="inlineStr">
        <is>
          <t>I like it</t>
        </is>
      </c>
      <c r="K146" s="10" t="inlineStr">
        <is>
          <t>I dislike it</t>
        </is>
      </c>
      <c r="L146" s="10" t="inlineStr">
        <is>
          <t>I can tolerate it</t>
        </is>
      </c>
      <c r="M146" s="10" t="inlineStr">
        <is>
          <t>I like it</t>
        </is>
      </c>
      <c r="N146" s="11">
        <f>IF(OR(B146="",C146=""),"",IFERROR(INDEX('Evaluation table'!$B$4:$F$8,MATCH(TRIM(SUBSTITUTE(B146,"’","'")),'Evaluation table'!$A$4:$A$8,0),MATCH(TRIM(SUBSTITUTE(C146,"’","'")),'Evaluation table'!$B$3:$F$3,0)),"?"))</f>
        <v/>
      </c>
      <c r="O146" s="11">
        <f>IF(OR(D146="",E146=""),"",IFERROR(INDEX('Evaluation table'!$B$4:$F$8,MATCH(TRIM(SUBSTITUTE(D146,"’","'")),'Evaluation table'!$A$4:$A$8,0),MATCH(TRIM(SUBSTITUTE(E146,"’","'")),'Evaluation table'!$B$3:$F$3,0)),"?"))</f>
        <v/>
      </c>
      <c r="P146" s="11">
        <f>IF(OR(F146="",G146=""),"",IFERROR(INDEX('Evaluation table'!$B$4:$F$8,MATCH(TRIM(SUBSTITUTE(F146,"’","'")),'Evaluation table'!$A$4:$A$8,0),MATCH(TRIM(SUBSTITUTE(G146,"’","'")),'Evaluation table'!$B$3:$F$3,0)),"?"))</f>
        <v/>
      </c>
      <c r="Q146" s="11">
        <f>IF(OR(H146="",I146=""),"",IFERROR(INDEX('Evaluation table'!$B$4:$F$8,MATCH(TRIM(SUBSTITUTE(H146,"’","'")),'Evaluation table'!$A$4:$A$8,0),MATCH(TRIM(SUBSTITUTE(I146,"’","'")),'Evaluation table'!$B$3:$F$3,0)),"?"))</f>
        <v/>
      </c>
      <c r="R146" s="11">
        <f>IF(OR(J146="",K146=""),"",IFERROR(INDEX('Evaluation table'!$B$4:$F$8,MATCH(TRIM(SUBSTITUTE(J146,"’","'")),'Evaluation table'!$A$4:$A$8,0),MATCH(TRIM(SUBSTITUTE(K146,"’","'")),'Evaluation table'!$B$3:$F$3,0)),"?"))</f>
        <v/>
      </c>
      <c r="S146" s="11">
        <f>IF(OR(L146="",M146=""),"",IFERROR(INDEX('Evaluation table'!$B$4:$F$8,MATCH(TRIM(SUBSTITUTE(L146,"’","'")),'Evaluation table'!$A$4:$A$8,0),MATCH(TRIM(SUBSTITUTE(M146,"’","'")),'Evaluation table'!$B$3:$F$3,0)),"?"))</f>
        <v/>
      </c>
    </row>
    <row r="147">
      <c r="A147" s="2" t="n">
        <v>129</v>
      </c>
      <c r="B147" s="10" t="inlineStr">
        <is>
          <t>I can tolerate it</t>
        </is>
      </c>
      <c r="C147" s="10" t="inlineStr">
        <is>
          <t>I dislike it</t>
        </is>
      </c>
      <c r="D147" s="10" t="inlineStr">
        <is>
          <t>I'm neutral</t>
        </is>
      </c>
      <c r="E147" s="10" t="inlineStr">
        <is>
          <t>I'm neutral</t>
        </is>
      </c>
      <c r="F147" s="10" t="inlineStr">
        <is>
          <t>I can tolerate it</t>
        </is>
      </c>
      <c r="G147" s="10" t="inlineStr">
        <is>
          <t>I'm neutral</t>
        </is>
      </c>
      <c r="H147" s="10" t="inlineStr">
        <is>
          <t>I'm neutral</t>
        </is>
      </c>
      <c r="I147" s="10" t="inlineStr">
        <is>
          <t>I dislike it</t>
        </is>
      </c>
      <c r="J147" s="10" t="inlineStr">
        <is>
          <t>I'm neutral</t>
        </is>
      </c>
      <c r="K147" s="10" t="inlineStr">
        <is>
          <t>I'm neutral</t>
        </is>
      </c>
      <c r="L147" s="10" t="inlineStr">
        <is>
          <t>I like it</t>
        </is>
      </c>
      <c r="M147" s="10" t="inlineStr">
        <is>
          <t>I'm neutral</t>
        </is>
      </c>
      <c r="N147" s="11">
        <f>IF(OR(B147="",C147=""),"",IFERROR(INDEX('Evaluation table'!$B$4:$F$8,MATCH(TRIM(SUBSTITUTE(B147,"’","'")),'Evaluation table'!$A$4:$A$8,0),MATCH(TRIM(SUBSTITUTE(C147,"’","'")),'Evaluation table'!$B$3:$F$3,0)),"?"))</f>
        <v/>
      </c>
      <c r="O147" s="11">
        <f>IF(OR(D147="",E147=""),"",IFERROR(INDEX('Evaluation table'!$B$4:$F$8,MATCH(TRIM(SUBSTITUTE(D147,"’","'")),'Evaluation table'!$A$4:$A$8,0),MATCH(TRIM(SUBSTITUTE(E147,"’","'")),'Evaluation table'!$B$3:$F$3,0)),"?"))</f>
        <v/>
      </c>
      <c r="P147" s="11">
        <f>IF(OR(F147="",G147=""),"",IFERROR(INDEX('Evaluation table'!$B$4:$F$8,MATCH(TRIM(SUBSTITUTE(F147,"’","'")),'Evaluation table'!$A$4:$A$8,0),MATCH(TRIM(SUBSTITUTE(G147,"’","'")),'Evaluation table'!$B$3:$F$3,0)),"?"))</f>
        <v/>
      </c>
      <c r="Q147" s="11">
        <f>IF(OR(H147="",I147=""),"",IFERROR(INDEX('Evaluation table'!$B$4:$F$8,MATCH(TRIM(SUBSTITUTE(H147,"’","'")),'Evaluation table'!$A$4:$A$8,0),MATCH(TRIM(SUBSTITUTE(I147,"’","'")),'Evaluation table'!$B$3:$F$3,0)),"?"))</f>
        <v/>
      </c>
      <c r="R147" s="11">
        <f>IF(OR(J147="",K147=""),"",IFERROR(INDEX('Evaluation table'!$B$4:$F$8,MATCH(TRIM(SUBSTITUTE(J147,"’","'")),'Evaluation table'!$A$4:$A$8,0),MATCH(TRIM(SUBSTITUTE(K147,"’","'")),'Evaluation table'!$B$3:$F$3,0)),"?"))</f>
        <v/>
      </c>
      <c r="S147" s="11">
        <f>IF(OR(L147="",M147=""),"",IFERROR(INDEX('Evaluation table'!$B$4:$F$8,MATCH(TRIM(SUBSTITUTE(L147,"’","'")),'Evaluation table'!$A$4:$A$8,0),MATCH(TRIM(SUBSTITUTE(M147,"’","'")),'Evaluation table'!$B$3:$F$3,0)),"?"))</f>
        <v/>
      </c>
    </row>
    <row r="148">
      <c r="A148" s="2" t="n">
        <v>130</v>
      </c>
      <c r="B148" s="10" t="inlineStr">
        <is>
          <t>I like it</t>
        </is>
      </c>
      <c r="C148" s="10" t="inlineStr">
        <is>
          <t>I dislike it</t>
        </is>
      </c>
      <c r="D148" s="10" t="inlineStr">
        <is>
          <t>I like it</t>
        </is>
      </c>
      <c r="E148" s="10" t="inlineStr">
        <is>
          <t>I dislike it</t>
        </is>
      </c>
      <c r="F148" s="10" t="inlineStr">
        <is>
          <t>I like it</t>
        </is>
      </c>
      <c r="G148" s="10" t="inlineStr">
        <is>
          <t>I dislike it</t>
        </is>
      </c>
      <c r="H148" s="10" t="inlineStr">
        <is>
          <t>I'm neutral</t>
        </is>
      </c>
      <c r="I148" s="10" t="inlineStr">
        <is>
          <t>I'm neutral</t>
        </is>
      </c>
      <c r="J148" s="10" t="inlineStr">
        <is>
          <t>I can tolerate it</t>
        </is>
      </c>
      <c r="K148" s="10" t="inlineStr">
        <is>
          <t>I'm neutral</t>
        </is>
      </c>
      <c r="L148" s="10" t="inlineStr">
        <is>
          <t>I expect it</t>
        </is>
      </c>
      <c r="M148" s="10" t="inlineStr">
        <is>
          <t>I'm neutral</t>
        </is>
      </c>
      <c r="N148" s="11">
        <f>IF(OR(B148="",C148=""),"",IFERROR(INDEX('Evaluation table'!$B$4:$F$8,MATCH(TRIM(SUBSTITUTE(B148,"’","'")),'Evaluation table'!$A$4:$A$8,0),MATCH(TRIM(SUBSTITUTE(C148,"’","'")),'Evaluation table'!$B$3:$F$3,0)),"?"))</f>
        <v/>
      </c>
      <c r="O148" s="11">
        <f>IF(OR(D148="",E148=""),"",IFERROR(INDEX('Evaluation table'!$B$4:$F$8,MATCH(TRIM(SUBSTITUTE(D148,"’","'")),'Evaluation table'!$A$4:$A$8,0),MATCH(TRIM(SUBSTITUTE(E148,"’","'")),'Evaluation table'!$B$3:$F$3,0)),"?"))</f>
        <v/>
      </c>
      <c r="P148" s="11">
        <f>IF(OR(F148="",G148=""),"",IFERROR(INDEX('Evaluation table'!$B$4:$F$8,MATCH(TRIM(SUBSTITUTE(F148,"’","'")),'Evaluation table'!$A$4:$A$8,0),MATCH(TRIM(SUBSTITUTE(G148,"’","'")),'Evaluation table'!$B$3:$F$3,0)),"?"))</f>
        <v/>
      </c>
      <c r="Q148" s="11">
        <f>IF(OR(H148="",I148=""),"",IFERROR(INDEX('Evaluation table'!$B$4:$F$8,MATCH(TRIM(SUBSTITUTE(H148,"’","'")),'Evaluation table'!$A$4:$A$8,0),MATCH(TRIM(SUBSTITUTE(I148,"’","'")),'Evaluation table'!$B$3:$F$3,0)),"?"))</f>
        <v/>
      </c>
      <c r="R148" s="11">
        <f>IF(OR(J148="",K148=""),"",IFERROR(INDEX('Evaluation table'!$B$4:$F$8,MATCH(TRIM(SUBSTITUTE(J148,"’","'")),'Evaluation table'!$A$4:$A$8,0),MATCH(TRIM(SUBSTITUTE(K148,"’","'")),'Evaluation table'!$B$3:$F$3,0)),"?"))</f>
        <v/>
      </c>
      <c r="S148" s="11">
        <f>IF(OR(L148="",M148=""),"",IFERROR(INDEX('Evaluation table'!$B$4:$F$8,MATCH(TRIM(SUBSTITUTE(L148,"’","'")),'Evaluation table'!$A$4:$A$8,0),MATCH(TRIM(SUBSTITUTE(M148,"’","'")),'Evaluation table'!$B$3:$F$3,0)),"?"))</f>
        <v/>
      </c>
    </row>
    <row r="149">
      <c r="A149" s="2" t="n">
        <v>131</v>
      </c>
      <c r="B149" s="10" t="inlineStr">
        <is>
          <t>I expect it</t>
        </is>
      </c>
      <c r="C149" s="10" t="inlineStr">
        <is>
          <t>I dislike it</t>
        </is>
      </c>
      <c r="D149" s="10" t="inlineStr">
        <is>
          <t>I like it</t>
        </is>
      </c>
      <c r="E149" s="10" t="inlineStr">
        <is>
          <t>I can tolerate it</t>
        </is>
      </c>
      <c r="F149" s="10" t="inlineStr">
        <is>
          <t>I expect it</t>
        </is>
      </c>
      <c r="G149" s="10" t="inlineStr">
        <is>
          <t>I dislike it</t>
        </is>
      </c>
      <c r="H149" s="10" t="inlineStr">
        <is>
          <t>I'm neutral</t>
        </is>
      </c>
      <c r="I149" s="10" t="inlineStr">
        <is>
          <t>I'm neutral</t>
        </is>
      </c>
      <c r="J149" s="10" t="inlineStr">
        <is>
          <t>I can tolerate it</t>
        </is>
      </c>
      <c r="K149" s="10" t="inlineStr">
        <is>
          <t>I'm neutral</t>
        </is>
      </c>
      <c r="L149" s="10" t="inlineStr">
        <is>
          <t>I dislike it</t>
        </is>
      </c>
      <c r="M149" s="10" t="inlineStr">
        <is>
          <t>I'm neutral</t>
        </is>
      </c>
      <c r="N149" s="11">
        <f>IF(OR(B149="",C149=""),"",IFERROR(INDEX('Evaluation table'!$B$4:$F$8,MATCH(TRIM(SUBSTITUTE(B149,"’","'")),'Evaluation table'!$A$4:$A$8,0),MATCH(TRIM(SUBSTITUTE(C149,"’","'")),'Evaluation table'!$B$3:$F$3,0)),"?"))</f>
        <v/>
      </c>
      <c r="O149" s="11">
        <f>IF(OR(D149="",E149=""),"",IFERROR(INDEX('Evaluation table'!$B$4:$F$8,MATCH(TRIM(SUBSTITUTE(D149,"’","'")),'Evaluation table'!$A$4:$A$8,0),MATCH(TRIM(SUBSTITUTE(E149,"’","'")),'Evaluation table'!$B$3:$F$3,0)),"?"))</f>
        <v/>
      </c>
      <c r="P149" s="11">
        <f>IF(OR(F149="",G149=""),"",IFERROR(INDEX('Evaluation table'!$B$4:$F$8,MATCH(TRIM(SUBSTITUTE(F149,"’","'")),'Evaluation table'!$A$4:$A$8,0),MATCH(TRIM(SUBSTITUTE(G149,"’","'")),'Evaluation table'!$B$3:$F$3,0)),"?"))</f>
        <v/>
      </c>
      <c r="Q149" s="11">
        <f>IF(OR(H149="",I149=""),"",IFERROR(INDEX('Evaluation table'!$B$4:$F$8,MATCH(TRIM(SUBSTITUTE(H149,"’","'")),'Evaluation table'!$A$4:$A$8,0),MATCH(TRIM(SUBSTITUTE(I149,"’","'")),'Evaluation table'!$B$3:$F$3,0)),"?"))</f>
        <v/>
      </c>
      <c r="R149" s="11">
        <f>IF(OR(J149="",K149=""),"",IFERROR(INDEX('Evaluation table'!$B$4:$F$8,MATCH(TRIM(SUBSTITUTE(J149,"’","'")),'Evaluation table'!$A$4:$A$8,0),MATCH(TRIM(SUBSTITUTE(K149,"’","'")),'Evaluation table'!$B$3:$F$3,0)),"?"))</f>
        <v/>
      </c>
      <c r="S149" s="11">
        <f>IF(OR(L149="",M149=""),"",IFERROR(INDEX('Evaluation table'!$B$4:$F$8,MATCH(TRIM(SUBSTITUTE(L149,"’","'")),'Evaluation table'!$A$4:$A$8,0),MATCH(TRIM(SUBSTITUTE(M149,"’","'")),'Evaluation table'!$B$3:$F$3,0)),"?"))</f>
        <v/>
      </c>
    </row>
    <row r="150">
      <c r="A150" s="2" t="n">
        <v>132</v>
      </c>
      <c r="B150" s="10" t="inlineStr">
        <is>
          <t>I like it</t>
        </is>
      </c>
      <c r="C150" s="10" t="inlineStr">
        <is>
          <t>I'm neutral</t>
        </is>
      </c>
      <c r="D150" s="10" t="inlineStr">
        <is>
          <t>I like it</t>
        </is>
      </c>
      <c r="E150" s="10" t="inlineStr">
        <is>
          <t>I dislike it</t>
        </is>
      </c>
      <c r="F150" s="10" t="inlineStr">
        <is>
          <t>I expect it</t>
        </is>
      </c>
      <c r="G150" s="10" t="inlineStr">
        <is>
          <t>I'm neutral</t>
        </is>
      </c>
      <c r="H150" s="10" t="inlineStr">
        <is>
          <t>I'm neutral</t>
        </is>
      </c>
      <c r="I150" s="10" t="inlineStr">
        <is>
          <t>I can tolerate it</t>
        </is>
      </c>
      <c r="J150" s="10" t="inlineStr">
        <is>
          <t>I like it</t>
        </is>
      </c>
      <c r="K150" s="10" t="inlineStr">
        <is>
          <t>I can tolerate it</t>
        </is>
      </c>
      <c r="L150" s="10" t="inlineStr">
        <is>
          <t>I'm neutral</t>
        </is>
      </c>
      <c r="M150" s="10" t="inlineStr">
        <is>
          <t>I can tolerate it</t>
        </is>
      </c>
      <c r="N150" s="11">
        <f>IF(OR(B150="",C150=""),"",IFERROR(INDEX('Evaluation table'!$B$4:$F$8,MATCH(TRIM(SUBSTITUTE(B150,"’","'")),'Evaluation table'!$A$4:$A$8,0),MATCH(TRIM(SUBSTITUTE(C150,"’","'")),'Evaluation table'!$B$3:$F$3,0)),"?"))</f>
        <v/>
      </c>
      <c r="O150" s="11">
        <f>IF(OR(D150="",E150=""),"",IFERROR(INDEX('Evaluation table'!$B$4:$F$8,MATCH(TRIM(SUBSTITUTE(D150,"’","'")),'Evaluation table'!$A$4:$A$8,0),MATCH(TRIM(SUBSTITUTE(E150,"’","'")),'Evaluation table'!$B$3:$F$3,0)),"?"))</f>
        <v/>
      </c>
      <c r="P150" s="11">
        <f>IF(OR(F150="",G150=""),"",IFERROR(INDEX('Evaluation table'!$B$4:$F$8,MATCH(TRIM(SUBSTITUTE(F150,"’","'")),'Evaluation table'!$A$4:$A$8,0),MATCH(TRIM(SUBSTITUTE(G150,"’","'")),'Evaluation table'!$B$3:$F$3,0)),"?"))</f>
        <v/>
      </c>
      <c r="Q150" s="11">
        <f>IF(OR(H150="",I150=""),"",IFERROR(INDEX('Evaluation table'!$B$4:$F$8,MATCH(TRIM(SUBSTITUTE(H150,"’","'")),'Evaluation table'!$A$4:$A$8,0),MATCH(TRIM(SUBSTITUTE(I150,"’","'")),'Evaluation table'!$B$3:$F$3,0)),"?"))</f>
        <v/>
      </c>
      <c r="R150" s="11">
        <f>IF(OR(J150="",K150=""),"",IFERROR(INDEX('Evaluation table'!$B$4:$F$8,MATCH(TRIM(SUBSTITUTE(J150,"’","'")),'Evaluation table'!$A$4:$A$8,0),MATCH(TRIM(SUBSTITUTE(K150,"’","'")),'Evaluation table'!$B$3:$F$3,0)),"?"))</f>
        <v/>
      </c>
      <c r="S150" s="11">
        <f>IF(OR(L150="",M150=""),"",IFERROR(INDEX('Evaluation table'!$B$4:$F$8,MATCH(TRIM(SUBSTITUTE(L150,"’","'")),'Evaluation table'!$A$4:$A$8,0),MATCH(TRIM(SUBSTITUTE(M150,"’","'")),'Evaluation table'!$B$3:$F$3,0)),"?"))</f>
        <v/>
      </c>
    </row>
    <row r="151">
      <c r="A151" s="2" t="n">
        <v>133</v>
      </c>
      <c r="B151" s="10" t="inlineStr">
        <is>
          <t>I like it</t>
        </is>
      </c>
      <c r="C151" s="10" t="inlineStr">
        <is>
          <t>I dislike it</t>
        </is>
      </c>
      <c r="D151" s="10" t="inlineStr">
        <is>
          <t>I like it</t>
        </is>
      </c>
      <c r="E151" s="10" t="inlineStr">
        <is>
          <t>I dislike it</t>
        </is>
      </c>
      <c r="F151" s="10" t="inlineStr">
        <is>
          <t>I like it</t>
        </is>
      </c>
      <c r="G151" s="10" t="inlineStr">
        <is>
          <t>I'm neutral</t>
        </is>
      </c>
      <c r="H151" s="10" t="inlineStr">
        <is>
          <t>I'm neutral</t>
        </is>
      </c>
      <c r="I151" s="10" t="inlineStr">
        <is>
          <t>I'm neutral</t>
        </is>
      </c>
      <c r="J151" s="10" t="inlineStr">
        <is>
          <t>I'm neutral</t>
        </is>
      </c>
      <c r="K151" s="10" t="inlineStr">
        <is>
          <t>I'm neutral</t>
        </is>
      </c>
      <c r="L151" s="10" t="inlineStr">
        <is>
          <t>I dislike it</t>
        </is>
      </c>
      <c r="M151" s="10" t="inlineStr">
        <is>
          <t>I like it</t>
        </is>
      </c>
      <c r="N151" s="11">
        <f>IF(OR(B151="",C151=""),"",IFERROR(INDEX('Evaluation table'!$B$4:$F$8,MATCH(TRIM(SUBSTITUTE(B151,"’","'")),'Evaluation table'!$A$4:$A$8,0),MATCH(TRIM(SUBSTITUTE(C151,"’","'")),'Evaluation table'!$B$3:$F$3,0)),"?"))</f>
        <v/>
      </c>
      <c r="O151" s="11">
        <f>IF(OR(D151="",E151=""),"",IFERROR(INDEX('Evaluation table'!$B$4:$F$8,MATCH(TRIM(SUBSTITUTE(D151,"’","'")),'Evaluation table'!$A$4:$A$8,0),MATCH(TRIM(SUBSTITUTE(E151,"’","'")),'Evaluation table'!$B$3:$F$3,0)),"?"))</f>
        <v/>
      </c>
      <c r="P151" s="11">
        <f>IF(OR(F151="",G151=""),"",IFERROR(INDEX('Evaluation table'!$B$4:$F$8,MATCH(TRIM(SUBSTITUTE(F151,"’","'")),'Evaluation table'!$A$4:$A$8,0),MATCH(TRIM(SUBSTITUTE(G151,"’","'")),'Evaluation table'!$B$3:$F$3,0)),"?"))</f>
        <v/>
      </c>
      <c r="Q151" s="11">
        <f>IF(OR(H151="",I151=""),"",IFERROR(INDEX('Evaluation table'!$B$4:$F$8,MATCH(TRIM(SUBSTITUTE(H151,"’","'")),'Evaluation table'!$A$4:$A$8,0),MATCH(TRIM(SUBSTITUTE(I151,"’","'")),'Evaluation table'!$B$3:$F$3,0)),"?"))</f>
        <v/>
      </c>
      <c r="R151" s="11">
        <f>IF(OR(J151="",K151=""),"",IFERROR(INDEX('Evaluation table'!$B$4:$F$8,MATCH(TRIM(SUBSTITUTE(J151,"’","'")),'Evaluation table'!$A$4:$A$8,0),MATCH(TRIM(SUBSTITUTE(K151,"’","'")),'Evaluation table'!$B$3:$F$3,0)),"?"))</f>
        <v/>
      </c>
      <c r="S151" s="11">
        <f>IF(OR(L151="",M151=""),"",IFERROR(INDEX('Evaluation table'!$B$4:$F$8,MATCH(TRIM(SUBSTITUTE(L151,"’","'")),'Evaluation table'!$A$4:$A$8,0),MATCH(TRIM(SUBSTITUTE(M151,"’","'")),'Evaluation table'!$B$3:$F$3,0)),"?"))</f>
        <v/>
      </c>
    </row>
    <row r="152">
      <c r="A152" s="2" t="n">
        <v>134</v>
      </c>
      <c r="B152" s="10" t="inlineStr">
        <is>
          <t>I like it</t>
        </is>
      </c>
      <c r="C152" s="10" t="inlineStr">
        <is>
          <t>I dislike it</t>
        </is>
      </c>
      <c r="D152" s="10" t="inlineStr">
        <is>
          <t>I like it</t>
        </is>
      </c>
      <c r="E152" s="10" t="inlineStr">
        <is>
          <t>I dislike it</t>
        </is>
      </c>
      <c r="F152" s="10" t="inlineStr">
        <is>
          <t>I like it</t>
        </is>
      </c>
      <c r="G152" s="10" t="inlineStr">
        <is>
          <t>I dislike it</t>
        </is>
      </c>
      <c r="H152" s="10" t="inlineStr">
        <is>
          <t>I expect it</t>
        </is>
      </c>
      <c r="I152" s="10" t="inlineStr">
        <is>
          <t>I'm neutral</t>
        </is>
      </c>
      <c r="J152" s="10" t="inlineStr">
        <is>
          <t>I can tolerate it</t>
        </is>
      </c>
      <c r="K152" s="10" t="inlineStr">
        <is>
          <t>I dislike it</t>
        </is>
      </c>
      <c r="L152" s="10" t="inlineStr">
        <is>
          <t>I'm neutral</t>
        </is>
      </c>
      <c r="M152" s="10" t="inlineStr">
        <is>
          <t>I'm neutral</t>
        </is>
      </c>
      <c r="N152" s="11">
        <f>IF(OR(B152="",C152=""),"",IFERROR(INDEX('Evaluation table'!$B$4:$F$8,MATCH(TRIM(SUBSTITUTE(B152,"’","'")),'Evaluation table'!$A$4:$A$8,0),MATCH(TRIM(SUBSTITUTE(C152,"’","'")),'Evaluation table'!$B$3:$F$3,0)),"?"))</f>
        <v/>
      </c>
      <c r="O152" s="11">
        <f>IF(OR(D152="",E152=""),"",IFERROR(INDEX('Evaluation table'!$B$4:$F$8,MATCH(TRIM(SUBSTITUTE(D152,"’","'")),'Evaluation table'!$A$4:$A$8,0),MATCH(TRIM(SUBSTITUTE(E152,"’","'")),'Evaluation table'!$B$3:$F$3,0)),"?"))</f>
        <v/>
      </c>
      <c r="P152" s="11">
        <f>IF(OR(F152="",G152=""),"",IFERROR(INDEX('Evaluation table'!$B$4:$F$8,MATCH(TRIM(SUBSTITUTE(F152,"’","'")),'Evaluation table'!$A$4:$A$8,0),MATCH(TRIM(SUBSTITUTE(G152,"’","'")),'Evaluation table'!$B$3:$F$3,0)),"?"))</f>
        <v/>
      </c>
      <c r="Q152" s="11">
        <f>IF(OR(H152="",I152=""),"",IFERROR(INDEX('Evaluation table'!$B$4:$F$8,MATCH(TRIM(SUBSTITUTE(H152,"’","'")),'Evaluation table'!$A$4:$A$8,0),MATCH(TRIM(SUBSTITUTE(I152,"’","'")),'Evaluation table'!$B$3:$F$3,0)),"?"))</f>
        <v/>
      </c>
      <c r="R152" s="11">
        <f>IF(OR(J152="",K152=""),"",IFERROR(INDEX('Evaluation table'!$B$4:$F$8,MATCH(TRIM(SUBSTITUTE(J152,"’","'")),'Evaluation table'!$A$4:$A$8,0),MATCH(TRIM(SUBSTITUTE(K152,"’","'")),'Evaluation table'!$B$3:$F$3,0)),"?"))</f>
        <v/>
      </c>
      <c r="S152" s="11">
        <f>IF(OR(L152="",M152=""),"",IFERROR(INDEX('Evaluation table'!$B$4:$F$8,MATCH(TRIM(SUBSTITUTE(L152,"’","'")),'Evaluation table'!$A$4:$A$8,0),MATCH(TRIM(SUBSTITUTE(M152,"’","'")),'Evaluation table'!$B$3:$F$3,0)),"?"))</f>
        <v/>
      </c>
    </row>
    <row r="153">
      <c r="A153" s="2" t="n">
        <v>135</v>
      </c>
      <c r="B153" s="10" t="inlineStr">
        <is>
          <t>I can tolerate it</t>
        </is>
      </c>
      <c r="C153" s="10" t="inlineStr">
        <is>
          <t>I dislike it</t>
        </is>
      </c>
      <c r="D153" s="10" t="inlineStr">
        <is>
          <t>I like it</t>
        </is>
      </c>
      <c r="E153" s="10" t="inlineStr">
        <is>
          <t>I'm neutral</t>
        </is>
      </c>
      <c r="F153" s="10" t="inlineStr">
        <is>
          <t>I like it</t>
        </is>
      </c>
      <c r="G153" s="10" t="inlineStr">
        <is>
          <t>I'm neutral</t>
        </is>
      </c>
      <c r="H153" s="10" t="inlineStr">
        <is>
          <t>I like it</t>
        </is>
      </c>
      <c r="I153" s="10" t="inlineStr">
        <is>
          <t>I'm neutral</t>
        </is>
      </c>
      <c r="J153" s="10" t="inlineStr">
        <is>
          <t>I'm neutral</t>
        </is>
      </c>
      <c r="K153" s="10" t="inlineStr">
        <is>
          <t>I can tolerate it</t>
        </is>
      </c>
      <c r="L153" s="10" t="inlineStr">
        <is>
          <t>I'm neutral</t>
        </is>
      </c>
      <c r="M153" s="10" t="inlineStr">
        <is>
          <t>I'm neutral</t>
        </is>
      </c>
      <c r="N153" s="11">
        <f>IF(OR(B153="",C153=""),"",IFERROR(INDEX('Evaluation table'!$B$4:$F$8,MATCH(TRIM(SUBSTITUTE(B153,"’","'")),'Evaluation table'!$A$4:$A$8,0),MATCH(TRIM(SUBSTITUTE(C153,"’","'")),'Evaluation table'!$B$3:$F$3,0)),"?"))</f>
        <v/>
      </c>
      <c r="O153" s="11">
        <f>IF(OR(D153="",E153=""),"",IFERROR(INDEX('Evaluation table'!$B$4:$F$8,MATCH(TRIM(SUBSTITUTE(D153,"’","'")),'Evaluation table'!$A$4:$A$8,0),MATCH(TRIM(SUBSTITUTE(E153,"’","'")),'Evaluation table'!$B$3:$F$3,0)),"?"))</f>
        <v/>
      </c>
      <c r="P153" s="11">
        <f>IF(OR(F153="",G153=""),"",IFERROR(INDEX('Evaluation table'!$B$4:$F$8,MATCH(TRIM(SUBSTITUTE(F153,"’","'")),'Evaluation table'!$A$4:$A$8,0),MATCH(TRIM(SUBSTITUTE(G153,"’","'")),'Evaluation table'!$B$3:$F$3,0)),"?"))</f>
        <v/>
      </c>
      <c r="Q153" s="11">
        <f>IF(OR(H153="",I153=""),"",IFERROR(INDEX('Evaluation table'!$B$4:$F$8,MATCH(TRIM(SUBSTITUTE(H153,"’","'")),'Evaluation table'!$A$4:$A$8,0),MATCH(TRIM(SUBSTITUTE(I153,"’","'")),'Evaluation table'!$B$3:$F$3,0)),"?"))</f>
        <v/>
      </c>
      <c r="R153" s="11">
        <f>IF(OR(J153="",K153=""),"",IFERROR(INDEX('Evaluation table'!$B$4:$F$8,MATCH(TRIM(SUBSTITUTE(J153,"’","'")),'Evaluation table'!$A$4:$A$8,0),MATCH(TRIM(SUBSTITUTE(K153,"’","'")),'Evaluation table'!$B$3:$F$3,0)),"?"))</f>
        <v/>
      </c>
      <c r="S153" s="11">
        <f>IF(OR(L153="",M153=""),"",IFERROR(INDEX('Evaluation table'!$B$4:$F$8,MATCH(TRIM(SUBSTITUTE(L153,"’","'")),'Evaluation table'!$A$4:$A$8,0),MATCH(TRIM(SUBSTITUTE(M153,"’","'")),'Evaluation table'!$B$3:$F$3,0)),"?"))</f>
        <v/>
      </c>
    </row>
    <row r="154">
      <c r="A154" s="2" t="n">
        <v>136</v>
      </c>
      <c r="B154" s="10" t="inlineStr">
        <is>
          <t>I expect it</t>
        </is>
      </c>
      <c r="C154" s="10" t="inlineStr">
        <is>
          <t>I dislike it</t>
        </is>
      </c>
      <c r="D154" s="10" t="inlineStr">
        <is>
          <t>I like it</t>
        </is>
      </c>
      <c r="E154" s="10" t="inlineStr">
        <is>
          <t>I dislike it</t>
        </is>
      </c>
      <c r="F154" s="10" t="inlineStr">
        <is>
          <t>I expect it</t>
        </is>
      </c>
      <c r="G154" s="10" t="inlineStr">
        <is>
          <t>I expect it</t>
        </is>
      </c>
      <c r="H154" s="10" t="inlineStr">
        <is>
          <t>I expect it</t>
        </is>
      </c>
      <c r="I154" s="10" t="inlineStr">
        <is>
          <t>I'm neutral</t>
        </is>
      </c>
      <c r="J154" s="10" t="inlineStr">
        <is>
          <t>I'm neutral</t>
        </is>
      </c>
      <c r="K154" s="10" t="inlineStr">
        <is>
          <t>I can tolerate it</t>
        </is>
      </c>
      <c r="L154" s="10" t="inlineStr">
        <is>
          <t>I'm neutral</t>
        </is>
      </c>
      <c r="M154" s="10" t="inlineStr">
        <is>
          <t>I'm neutral</t>
        </is>
      </c>
      <c r="N154" s="11">
        <f>IF(OR(B154="",C154=""),"",IFERROR(INDEX('Evaluation table'!$B$4:$F$8,MATCH(TRIM(SUBSTITUTE(B154,"’","'")),'Evaluation table'!$A$4:$A$8,0),MATCH(TRIM(SUBSTITUTE(C154,"’","'")),'Evaluation table'!$B$3:$F$3,0)),"?"))</f>
        <v/>
      </c>
      <c r="O154" s="11">
        <f>IF(OR(D154="",E154=""),"",IFERROR(INDEX('Evaluation table'!$B$4:$F$8,MATCH(TRIM(SUBSTITUTE(D154,"’","'")),'Evaluation table'!$A$4:$A$8,0),MATCH(TRIM(SUBSTITUTE(E154,"’","'")),'Evaluation table'!$B$3:$F$3,0)),"?"))</f>
        <v/>
      </c>
      <c r="P154" s="11">
        <f>IF(OR(F154="",G154=""),"",IFERROR(INDEX('Evaluation table'!$B$4:$F$8,MATCH(TRIM(SUBSTITUTE(F154,"’","'")),'Evaluation table'!$A$4:$A$8,0),MATCH(TRIM(SUBSTITUTE(G154,"’","'")),'Evaluation table'!$B$3:$F$3,0)),"?"))</f>
        <v/>
      </c>
      <c r="Q154" s="11">
        <f>IF(OR(H154="",I154=""),"",IFERROR(INDEX('Evaluation table'!$B$4:$F$8,MATCH(TRIM(SUBSTITUTE(H154,"’","'")),'Evaluation table'!$A$4:$A$8,0),MATCH(TRIM(SUBSTITUTE(I154,"’","'")),'Evaluation table'!$B$3:$F$3,0)),"?"))</f>
        <v/>
      </c>
      <c r="R154" s="11">
        <f>IF(OR(J154="",K154=""),"",IFERROR(INDEX('Evaluation table'!$B$4:$F$8,MATCH(TRIM(SUBSTITUTE(J154,"’","'")),'Evaluation table'!$A$4:$A$8,0),MATCH(TRIM(SUBSTITUTE(K154,"’","'")),'Evaluation table'!$B$3:$F$3,0)),"?"))</f>
        <v/>
      </c>
      <c r="S154" s="11">
        <f>IF(OR(L154="",M154=""),"",IFERROR(INDEX('Evaluation table'!$B$4:$F$8,MATCH(TRIM(SUBSTITUTE(L154,"’","'")),'Evaluation table'!$A$4:$A$8,0),MATCH(TRIM(SUBSTITUTE(M154,"’","'")),'Evaluation table'!$B$3:$F$3,0)),"?"))</f>
        <v/>
      </c>
    </row>
    <row r="155">
      <c r="A155" s="2" t="n">
        <v>137</v>
      </c>
      <c r="B155" s="10" t="inlineStr">
        <is>
          <t>I can tolerate it</t>
        </is>
      </c>
      <c r="C155" s="10" t="inlineStr">
        <is>
          <t>I dislike it</t>
        </is>
      </c>
      <c r="D155" s="10" t="inlineStr">
        <is>
          <t>I like it</t>
        </is>
      </c>
      <c r="E155" s="10" t="inlineStr">
        <is>
          <t>I dislike it</t>
        </is>
      </c>
      <c r="F155" s="10" t="inlineStr">
        <is>
          <t>I like it</t>
        </is>
      </c>
      <c r="G155" s="10" t="inlineStr">
        <is>
          <t>I dislike it</t>
        </is>
      </c>
      <c r="H155" s="10" t="inlineStr">
        <is>
          <t>I like it</t>
        </is>
      </c>
      <c r="I155" s="10" t="inlineStr">
        <is>
          <t>I can tolerate it</t>
        </is>
      </c>
      <c r="J155" s="10" t="inlineStr">
        <is>
          <t>I can tolerate it</t>
        </is>
      </c>
      <c r="K155" s="10" t="inlineStr">
        <is>
          <t>I like it</t>
        </is>
      </c>
      <c r="L155" s="10" t="inlineStr">
        <is>
          <t>I expect it</t>
        </is>
      </c>
      <c r="M155" s="10" t="inlineStr">
        <is>
          <t>I dislike it</t>
        </is>
      </c>
      <c r="N155" s="11">
        <f>IF(OR(B155="",C155=""),"",IFERROR(INDEX('Evaluation table'!$B$4:$F$8,MATCH(TRIM(SUBSTITUTE(B155,"’","'")),'Evaluation table'!$A$4:$A$8,0),MATCH(TRIM(SUBSTITUTE(C155,"’","'")),'Evaluation table'!$B$3:$F$3,0)),"?"))</f>
        <v/>
      </c>
      <c r="O155" s="11">
        <f>IF(OR(D155="",E155=""),"",IFERROR(INDEX('Evaluation table'!$B$4:$F$8,MATCH(TRIM(SUBSTITUTE(D155,"’","'")),'Evaluation table'!$A$4:$A$8,0),MATCH(TRIM(SUBSTITUTE(E155,"’","'")),'Evaluation table'!$B$3:$F$3,0)),"?"))</f>
        <v/>
      </c>
      <c r="P155" s="11">
        <f>IF(OR(F155="",G155=""),"",IFERROR(INDEX('Evaluation table'!$B$4:$F$8,MATCH(TRIM(SUBSTITUTE(F155,"’","'")),'Evaluation table'!$A$4:$A$8,0),MATCH(TRIM(SUBSTITUTE(G155,"’","'")),'Evaluation table'!$B$3:$F$3,0)),"?"))</f>
        <v/>
      </c>
      <c r="Q155" s="11">
        <f>IF(OR(H155="",I155=""),"",IFERROR(INDEX('Evaluation table'!$B$4:$F$8,MATCH(TRIM(SUBSTITUTE(H155,"’","'")),'Evaluation table'!$A$4:$A$8,0),MATCH(TRIM(SUBSTITUTE(I155,"’","'")),'Evaluation table'!$B$3:$F$3,0)),"?"))</f>
        <v/>
      </c>
      <c r="R155" s="11">
        <f>IF(OR(J155="",K155=""),"",IFERROR(INDEX('Evaluation table'!$B$4:$F$8,MATCH(TRIM(SUBSTITUTE(J155,"’","'")),'Evaluation table'!$A$4:$A$8,0),MATCH(TRIM(SUBSTITUTE(K155,"’","'")),'Evaluation table'!$B$3:$F$3,0)),"?"))</f>
        <v/>
      </c>
      <c r="S155" s="11">
        <f>IF(OR(L155="",M155=""),"",IFERROR(INDEX('Evaluation table'!$B$4:$F$8,MATCH(TRIM(SUBSTITUTE(L155,"’","'")),'Evaluation table'!$A$4:$A$8,0),MATCH(TRIM(SUBSTITUTE(M155,"’","'")),'Evaluation table'!$B$3:$F$3,0)),"?"))</f>
        <v/>
      </c>
    </row>
    <row r="156">
      <c r="A156" s="2" t="n">
        <v>138</v>
      </c>
      <c r="B156" s="10" t="inlineStr">
        <is>
          <t>I like it</t>
        </is>
      </c>
      <c r="C156" s="10" t="inlineStr">
        <is>
          <t>I dislike it</t>
        </is>
      </c>
      <c r="D156" s="10" t="inlineStr">
        <is>
          <t>I can tolerate it</t>
        </is>
      </c>
      <c r="E156" s="10" t="inlineStr">
        <is>
          <t>I dislike it</t>
        </is>
      </c>
      <c r="F156" s="10" t="inlineStr">
        <is>
          <t>I like it</t>
        </is>
      </c>
      <c r="G156" s="10" t="inlineStr">
        <is>
          <t>I'm neutral</t>
        </is>
      </c>
      <c r="H156" s="10" t="inlineStr">
        <is>
          <t>I like it</t>
        </is>
      </c>
      <c r="I156" s="10" t="inlineStr">
        <is>
          <t>I dislike it</t>
        </is>
      </c>
      <c r="J156" s="10" t="inlineStr">
        <is>
          <t>I like it</t>
        </is>
      </c>
      <c r="K156" s="10" t="inlineStr">
        <is>
          <t>I'm neutral</t>
        </is>
      </c>
      <c r="L156" s="10" t="inlineStr">
        <is>
          <t>I like it</t>
        </is>
      </c>
      <c r="M156" s="10" t="inlineStr">
        <is>
          <t>I'm neutral</t>
        </is>
      </c>
      <c r="N156" s="11">
        <f>IF(OR(B156="",C156=""),"",IFERROR(INDEX('Evaluation table'!$B$4:$F$8,MATCH(TRIM(SUBSTITUTE(B156,"’","'")),'Evaluation table'!$A$4:$A$8,0),MATCH(TRIM(SUBSTITUTE(C156,"’","'")),'Evaluation table'!$B$3:$F$3,0)),"?"))</f>
        <v/>
      </c>
      <c r="O156" s="11">
        <f>IF(OR(D156="",E156=""),"",IFERROR(INDEX('Evaluation table'!$B$4:$F$8,MATCH(TRIM(SUBSTITUTE(D156,"’","'")),'Evaluation table'!$A$4:$A$8,0),MATCH(TRIM(SUBSTITUTE(E156,"’","'")),'Evaluation table'!$B$3:$F$3,0)),"?"))</f>
        <v/>
      </c>
      <c r="P156" s="11">
        <f>IF(OR(F156="",G156=""),"",IFERROR(INDEX('Evaluation table'!$B$4:$F$8,MATCH(TRIM(SUBSTITUTE(F156,"’","'")),'Evaluation table'!$A$4:$A$8,0),MATCH(TRIM(SUBSTITUTE(G156,"’","'")),'Evaluation table'!$B$3:$F$3,0)),"?"))</f>
        <v/>
      </c>
      <c r="Q156" s="11">
        <f>IF(OR(H156="",I156=""),"",IFERROR(INDEX('Evaluation table'!$B$4:$F$8,MATCH(TRIM(SUBSTITUTE(H156,"’","'")),'Evaluation table'!$A$4:$A$8,0),MATCH(TRIM(SUBSTITUTE(I156,"’","'")),'Evaluation table'!$B$3:$F$3,0)),"?"))</f>
        <v/>
      </c>
      <c r="R156" s="11">
        <f>IF(OR(J156="",K156=""),"",IFERROR(INDEX('Evaluation table'!$B$4:$F$8,MATCH(TRIM(SUBSTITUTE(J156,"’","'")),'Evaluation table'!$A$4:$A$8,0),MATCH(TRIM(SUBSTITUTE(K156,"’","'")),'Evaluation table'!$B$3:$F$3,0)),"?"))</f>
        <v/>
      </c>
      <c r="S156" s="11">
        <f>IF(OR(L156="",M156=""),"",IFERROR(INDEX('Evaluation table'!$B$4:$F$8,MATCH(TRIM(SUBSTITUTE(L156,"’","'")),'Evaluation table'!$A$4:$A$8,0),MATCH(TRIM(SUBSTITUTE(M156,"’","'")),'Evaluation table'!$B$3:$F$3,0)),"?"))</f>
        <v/>
      </c>
    </row>
    <row r="157">
      <c r="A157" s="2" t="n">
        <v>139</v>
      </c>
      <c r="B157" s="10" t="inlineStr">
        <is>
          <t>I like it</t>
        </is>
      </c>
      <c r="C157" s="10" t="inlineStr">
        <is>
          <t>I'm neutral</t>
        </is>
      </c>
      <c r="D157" s="10" t="inlineStr">
        <is>
          <t>I'm neutral</t>
        </is>
      </c>
      <c r="E157" s="10" t="inlineStr">
        <is>
          <t>I'm neutral</t>
        </is>
      </c>
      <c r="F157" s="10" t="inlineStr">
        <is>
          <t>I like it</t>
        </is>
      </c>
      <c r="G157" s="10" t="inlineStr">
        <is>
          <t>I'm neutral</t>
        </is>
      </c>
      <c r="H157" s="10" t="inlineStr">
        <is>
          <t>I like it</t>
        </is>
      </c>
      <c r="I157" s="10" t="inlineStr">
        <is>
          <t>I'm neutral</t>
        </is>
      </c>
      <c r="J157" s="10" t="inlineStr">
        <is>
          <t>I expect it</t>
        </is>
      </c>
      <c r="K157" s="10" t="inlineStr">
        <is>
          <t>I expect it</t>
        </is>
      </c>
      <c r="L157" s="10" t="inlineStr">
        <is>
          <t>I'm neutral</t>
        </is>
      </c>
      <c r="M157" s="10" t="inlineStr">
        <is>
          <t>I'm neutral</t>
        </is>
      </c>
      <c r="N157" s="11">
        <f>IF(OR(B157="",C157=""),"",IFERROR(INDEX('Evaluation table'!$B$4:$F$8,MATCH(TRIM(SUBSTITUTE(B157,"’","'")),'Evaluation table'!$A$4:$A$8,0),MATCH(TRIM(SUBSTITUTE(C157,"’","'")),'Evaluation table'!$B$3:$F$3,0)),"?"))</f>
        <v/>
      </c>
      <c r="O157" s="11">
        <f>IF(OR(D157="",E157=""),"",IFERROR(INDEX('Evaluation table'!$B$4:$F$8,MATCH(TRIM(SUBSTITUTE(D157,"’","'")),'Evaluation table'!$A$4:$A$8,0),MATCH(TRIM(SUBSTITUTE(E157,"’","'")),'Evaluation table'!$B$3:$F$3,0)),"?"))</f>
        <v/>
      </c>
      <c r="P157" s="11">
        <f>IF(OR(F157="",G157=""),"",IFERROR(INDEX('Evaluation table'!$B$4:$F$8,MATCH(TRIM(SUBSTITUTE(F157,"’","'")),'Evaluation table'!$A$4:$A$8,0),MATCH(TRIM(SUBSTITUTE(G157,"’","'")),'Evaluation table'!$B$3:$F$3,0)),"?"))</f>
        <v/>
      </c>
      <c r="Q157" s="11">
        <f>IF(OR(H157="",I157=""),"",IFERROR(INDEX('Evaluation table'!$B$4:$F$8,MATCH(TRIM(SUBSTITUTE(H157,"’","'")),'Evaluation table'!$A$4:$A$8,0),MATCH(TRIM(SUBSTITUTE(I157,"’","'")),'Evaluation table'!$B$3:$F$3,0)),"?"))</f>
        <v/>
      </c>
      <c r="R157" s="11">
        <f>IF(OR(J157="",K157=""),"",IFERROR(INDEX('Evaluation table'!$B$4:$F$8,MATCH(TRIM(SUBSTITUTE(J157,"’","'")),'Evaluation table'!$A$4:$A$8,0),MATCH(TRIM(SUBSTITUTE(K157,"’","'")),'Evaluation table'!$B$3:$F$3,0)),"?"))</f>
        <v/>
      </c>
      <c r="S157" s="11">
        <f>IF(OR(L157="",M157=""),"",IFERROR(INDEX('Evaluation table'!$B$4:$F$8,MATCH(TRIM(SUBSTITUTE(L157,"’","'")),'Evaluation table'!$A$4:$A$8,0),MATCH(TRIM(SUBSTITUTE(M157,"’","'")),'Evaluation table'!$B$3:$F$3,0)),"?"))</f>
        <v/>
      </c>
    </row>
    <row r="158">
      <c r="A158" s="2" t="n">
        <v>140</v>
      </c>
      <c r="B158" s="10" t="inlineStr">
        <is>
          <t>I'm neutral</t>
        </is>
      </c>
      <c r="C158" s="10" t="inlineStr">
        <is>
          <t>I'm neutral</t>
        </is>
      </c>
      <c r="D158" s="10" t="inlineStr">
        <is>
          <t>I like it</t>
        </is>
      </c>
      <c r="E158" s="10" t="inlineStr">
        <is>
          <t>I'm neutral</t>
        </is>
      </c>
      <c r="F158" s="10" t="inlineStr">
        <is>
          <t>I like it</t>
        </is>
      </c>
      <c r="G158" s="10" t="inlineStr">
        <is>
          <t>I expect it</t>
        </is>
      </c>
      <c r="H158" s="10" t="inlineStr">
        <is>
          <t>I like it</t>
        </is>
      </c>
      <c r="I158" s="10" t="inlineStr">
        <is>
          <t>I'm neutral</t>
        </is>
      </c>
      <c r="J158" s="10" t="inlineStr">
        <is>
          <t>I expect it</t>
        </is>
      </c>
      <c r="K158" s="10" t="inlineStr">
        <is>
          <t>I expect it</t>
        </is>
      </c>
      <c r="L158" s="10" t="inlineStr">
        <is>
          <t>I dislike it</t>
        </is>
      </c>
      <c r="M158" s="10" t="inlineStr">
        <is>
          <t>I like it</t>
        </is>
      </c>
      <c r="N158" s="11">
        <f>IF(OR(B158="",C158=""),"",IFERROR(INDEX('Evaluation table'!$B$4:$F$8,MATCH(TRIM(SUBSTITUTE(B158,"’","'")),'Evaluation table'!$A$4:$A$8,0),MATCH(TRIM(SUBSTITUTE(C158,"’","'")),'Evaluation table'!$B$3:$F$3,0)),"?"))</f>
        <v/>
      </c>
      <c r="O158" s="11">
        <f>IF(OR(D158="",E158=""),"",IFERROR(INDEX('Evaluation table'!$B$4:$F$8,MATCH(TRIM(SUBSTITUTE(D158,"’","'")),'Evaluation table'!$A$4:$A$8,0),MATCH(TRIM(SUBSTITUTE(E158,"’","'")),'Evaluation table'!$B$3:$F$3,0)),"?"))</f>
        <v/>
      </c>
      <c r="P158" s="11">
        <f>IF(OR(F158="",G158=""),"",IFERROR(INDEX('Evaluation table'!$B$4:$F$8,MATCH(TRIM(SUBSTITUTE(F158,"’","'")),'Evaluation table'!$A$4:$A$8,0),MATCH(TRIM(SUBSTITUTE(G158,"’","'")),'Evaluation table'!$B$3:$F$3,0)),"?"))</f>
        <v/>
      </c>
      <c r="Q158" s="11">
        <f>IF(OR(H158="",I158=""),"",IFERROR(INDEX('Evaluation table'!$B$4:$F$8,MATCH(TRIM(SUBSTITUTE(H158,"’","'")),'Evaluation table'!$A$4:$A$8,0),MATCH(TRIM(SUBSTITUTE(I158,"’","'")),'Evaluation table'!$B$3:$F$3,0)),"?"))</f>
        <v/>
      </c>
      <c r="R158" s="11">
        <f>IF(OR(J158="",K158=""),"",IFERROR(INDEX('Evaluation table'!$B$4:$F$8,MATCH(TRIM(SUBSTITUTE(J158,"’","'")),'Evaluation table'!$A$4:$A$8,0),MATCH(TRIM(SUBSTITUTE(K158,"’","'")),'Evaluation table'!$B$3:$F$3,0)),"?"))</f>
        <v/>
      </c>
      <c r="S158" s="11">
        <f>IF(OR(L158="",M158=""),"",IFERROR(INDEX('Evaluation table'!$B$4:$F$8,MATCH(TRIM(SUBSTITUTE(L158,"’","'")),'Evaluation table'!$A$4:$A$8,0),MATCH(TRIM(SUBSTITUTE(M158,"’","'")),'Evaluation table'!$B$3:$F$3,0)),"?"))</f>
        <v/>
      </c>
    </row>
    <row r="159">
      <c r="A159" s="2" t="n">
        <v>141</v>
      </c>
      <c r="B159" s="10" t="inlineStr">
        <is>
          <t>I like it</t>
        </is>
      </c>
      <c r="C159" s="10" t="inlineStr">
        <is>
          <t>I dislike it</t>
        </is>
      </c>
      <c r="D159" s="10" t="inlineStr">
        <is>
          <t>I like it</t>
        </is>
      </c>
      <c r="E159" s="10" t="inlineStr">
        <is>
          <t>I dislike it</t>
        </is>
      </c>
      <c r="F159" s="10" t="inlineStr">
        <is>
          <t>I like it</t>
        </is>
      </c>
      <c r="G159" s="10" t="inlineStr">
        <is>
          <t>I'm neutral</t>
        </is>
      </c>
      <c r="H159" s="10" t="inlineStr">
        <is>
          <t>I like it</t>
        </is>
      </c>
      <c r="I159" s="10" t="inlineStr">
        <is>
          <t>I can tolerate it</t>
        </is>
      </c>
      <c r="J159" s="10" t="inlineStr">
        <is>
          <t>I'm neutral</t>
        </is>
      </c>
      <c r="K159" s="10" t="inlineStr">
        <is>
          <t>I'm neutral</t>
        </is>
      </c>
      <c r="L159" s="10" t="inlineStr">
        <is>
          <t>I expect it</t>
        </is>
      </c>
      <c r="M159" s="10" t="inlineStr">
        <is>
          <t>I dislike it</t>
        </is>
      </c>
      <c r="N159" s="11">
        <f>IF(OR(B159="",C159=""),"",IFERROR(INDEX('Evaluation table'!$B$4:$F$8,MATCH(TRIM(SUBSTITUTE(B159,"’","'")),'Evaluation table'!$A$4:$A$8,0),MATCH(TRIM(SUBSTITUTE(C159,"’","'")),'Evaluation table'!$B$3:$F$3,0)),"?"))</f>
        <v/>
      </c>
      <c r="O159" s="11">
        <f>IF(OR(D159="",E159=""),"",IFERROR(INDEX('Evaluation table'!$B$4:$F$8,MATCH(TRIM(SUBSTITUTE(D159,"’","'")),'Evaluation table'!$A$4:$A$8,0),MATCH(TRIM(SUBSTITUTE(E159,"’","'")),'Evaluation table'!$B$3:$F$3,0)),"?"))</f>
        <v/>
      </c>
      <c r="P159" s="11">
        <f>IF(OR(F159="",G159=""),"",IFERROR(INDEX('Evaluation table'!$B$4:$F$8,MATCH(TRIM(SUBSTITUTE(F159,"’","'")),'Evaluation table'!$A$4:$A$8,0),MATCH(TRIM(SUBSTITUTE(G159,"’","'")),'Evaluation table'!$B$3:$F$3,0)),"?"))</f>
        <v/>
      </c>
      <c r="Q159" s="11">
        <f>IF(OR(H159="",I159=""),"",IFERROR(INDEX('Evaluation table'!$B$4:$F$8,MATCH(TRIM(SUBSTITUTE(H159,"’","'")),'Evaluation table'!$A$4:$A$8,0),MATCH(TRIM(SUBSTITUTE(I159,"’","'")),'Evaluation table'!$B$3:$F$3,0)),"?"))</f>
        <v/>
      </c>
      <c r="R159" s="11">
        <f>IF(OR(J159="",K159=""),"",IFERROR(INDEX('Evaluation table'!$B$4:$F$8,MATCH(TRIM(SUBSTITUTE(J159,"’","'")),'Evaluation table'!$A$4:$A$8,0),MATCH(TRIM(SUBSTITUTE(K159,"’","'")),'Evaluation table'!$B$3:$F$3,0)),"?"))</f>
        <v/>
      </c>
      <c r="S159" s="11">
        <f>IF(OR(L159="",M159=""),"",IFERROR(INDEX('Evaluation table'!$B$4:$F$8,MATCH(TRIM(SUBSTITUTE(L159,"’","'")),'Evaluation table'!$A$4:$A$8,0),MATCH(TRIM(SUBSTITUTE(M159,"’","'")),'Evaluation table'!$B$3:$F$3,0)),"?"))</f>
        <v/>
      </c>
    </row>
    <row r="160">
      <c r="A160" s="2" t="n">
        <v>142</v>
      </c>
      <c r="B160" s="10" t="inlineStr">
        <is>
          <t>I like it</t>
        </is>
      </c>
      <c r="C160" s="10" t="inlineStr">
        <is>
          <t>I'm neutral</t>
        </is>
      </c>
      <c r="D160" s="10" t="inlineStr">
        <is>
          <t>I like it</t>
        </is>
      </c>
      <c r="E160" s="10" t="inlineStr">
        <is>
          <t>I dislike it</t>
        </is>
      </c>
      <c r="F160" s="10" t="inlineStr">
        <is>
          <t>I like it</t>
        </is>
      </c>
      <c r="G160" s="10" t="inlineStr">
        <is>
          <t>I dislike it</t>
        </is>
      </c>
      <c r="H160" s="10" t="inlineStr">
        <is>
          <t>I can tolerate it</t>
        </is>
      </c>
      <c r="I160" s="10" t="inlineStr">
        <is>
          <t>I'm neutral</t>
        </is>
      </c>
      <c r="J160" s="10" t="inlineStr">
        <is>
          <t>I expect it</t>
        </is>
      </c>
      <c r="K160" s="10" t="inlineStr">
        <is>
          <t>I expect it</t>
        </is>
      </c>
      <c r="L160" s="10" t="inlineStr">
        <is>
          <t>I'm neutral</t>
        </is>
      </c>
      <c r="M160" s="10" t="inlineStr">
        <is>
          <t>I like it</t>
        </is>
      </c>
      <c r="N160" s="11">
        <f>IF(OR(B160="",C160=""),"",IFERROR(INDEX('Evaluation table'!$B$4:$F$8,MATCH(TRIM(SUBSTITUTE(B160,"’","'")),'Evaluation table'!$A$4:$A$8,0),MATCH(TRIM(SUBSTITUTE(C160,"’","'")),'Evaluation table'!$B$3:$F$3,0)),"?"))</f>
        <v/>
      </c>
      <c r="O160" s="11">
        <f>IF(OR(D160="",E160=""),"",IFERROR(INDEX('Evaluation table'!$B$4:$F$8,MATCH(TRIM(SUBSTITUTE(D160,"’","'")),'Evaluation table'!$A$4:$A$8,0),MATCH(TRIM(SUBSTITUTE(E160,"’","'")),'Evaluation table'!$B$3:$F$3,0)),"?"))</f>
        <v/>
      </c>
      <c r="P160" s="11">
        <f>IF(OR(F160="",G160=""),"",IFERROR(INDEX('Evaluation table'!$B$4:$F$8,MATCH(TRIM(SUBSTITUTE(F160,"’","'")),'Evaluation table'!$A$4:$A$8,0),MATCH(TRIM(SUBSTITUTE(G160,"’","'")),'Evaluation table'!$B$3:$F$3,0)),"?"))</f>
        <v/>
      </c>
      <c r="Q160" s="11">
        <f>IF(OR(H160="",I160=""),"",IFERROR(INDEX('Evaluation table'!$B$4:$F$8,MATCH(TRIM(SUBSTITUTE(H160,"’","'")),'Evaluation table'!$A$4:$A$8,0),MATCH(TRIM(SUBSTITUTE(I160,"’","'")),'Evaluation table'!$B$3:$F$3,0)),"?"))</f>
        <v/>
      </c>
      <c r="R160" s="11">
        <f>IF(OR(J160="",K160=""),"",IFERROR(INDEX('Evaluation table'!$B$4:$F$8,MATCH(TRIM(SUBSTITUTE(J160,"’","'")),'Evaluation table'!$A$4:$A$8,0),MATCH(TRIM(SUBSTITUTE(K160,"’","'")),'Evaluation table'!$B$3:$F$3,0)),"?"))</f>
        <v/>
      </c>
      <c r="S160" s="11">
        <f>IF(OR(L160="",M160=""),"",IFERROR(INDEX('Evaluation table'!$B$4:$F$8,MATCH(TRIM(SUBSTITUTE(L160,"’","'")),'Evaluation table'!$A$4:$A$8,0),MATCH(TRIM(SUBSTITUTE(M160,"’","'")),'Evaluation table'!$B$3:$F$3,0)),"?"))</f>
        <v/>
      </c>
    </row>
    <row r="161">
      <c r="A161" s="2" t="n">
        <v>143</v>
      </c>
      <c r="B161" s="10" t="inlineStr">
        <is>
          <t>I'm neutral</t>
        </is>
      </c>
      <c r="C161" s="10" t="inlineStr">
        <is>
          <t>I dislike it</t>
        </is>
      </c>
      <c r="D161" s="10" t="inlineStr">
        <is>
          <t>I like it</t>
        </is>
      </c>
      <c r="E161" s="10" t="inlineStr">
        <is>
          <t>I dislike it</t>
        </is>
      </c>
      <c r="F161" s="10" t="inlineStr">
        <is>
          <t>I like it</t>
        </is>
      </c>
      <c r="G161" s="10" t="inlineStr">
        <is>
          <t>I can tolerate it</t>
        </is>
      </c>
      <c r="H161" s="10" t="inlineStr">
        <is>
          <t>I can tolerate it</t>
        </is>
      </c>
      <c r="I161" s="10" t="inlineStr">
        <is>
          <t>I can tolerate it</t>
        </is>
      </c>
      <c r="J161" s="10" t="inlineStr">
        <is>
          <t>I like it</t>
        </is>
      </c>
      <c r="K161" s="10" t="inlineStr">
        <is>
          <t>I'm neutral</t>
        </is>
      </c>
      <c r="L161" s="10" t="inlineStr">
        <is>
          <t>I expect it</t>
        </is>
      </c>
      <c r="M161" s="10" t="inlineStr">
        <is>
          <t>I'm neutral</t>
        </is>
      </c>
      <c r="N161" s="11">
        <f>IF(OR(B161="",C161=""),"",IFERROR(INDEX('Evaluation table'!$B$4:$F$8,MATCH(TRIM(SUBSTITUTE(B161,"’","'")),'Evaluation table'!$A$4:$A$8,0),MATCH(TRIM(SUBSTITUTE(C161,"’","'")),'Evaluation table'!$B$3:$F$3,0)),"?"))</f>
        <v/>
      </c>
      <c r="O161" s="11">
        <f>IF(OR(D161="",E161=""),"",IFERROR(INDEX('Evaluation table'!$B$4:$F$8,MATCH(TRIM(SUBSTITUTE(D161,"’","'")),'Evaluation table'!$A$4:$A$8,0),MATCH(TRIM(SUBSTITUTE(E161,"’","'")),'Evaluation table'!$B$3:$F$3,0)),"?"))</f>
        <v/>
      </c>
      <c r="P161" s="11">
        <f>IF(OR(F161="",G161=""),"",IFERROR(INDEX('Evaluation table'!$B$4:$F$8,MATCH(TRIM(SUBSTITUTE(F161,"’","'")),'Evaluation table'!$A$4:$A$8,0),MATCH(TRIM(SUBSTITUTE(G161,"’","'")),'Evaluation table'!$B$3:$F$3,0)),"?"))</f>
        <v/>
      </c>
      <c r="Q161" s="11">
        <f>IF(OR(H161="",I161=""),"",IFERROR(INDEX('Evaluation table'!$B$4:$F$8,MATCH(TRIM(SUBSTITUTE(H161,"’","'")),'Evaluation table'!$A$4:$A$8,0),MATCH(TRIM(SUBSTITUTE(I161,"’","'")),'Evaluation table'!$B$3:$F$3,0)),"?"))</f>
        <v/>
      </c>
      <c r="R161" s="11">
        <f>IF(OR(J161="",K161=""),"",IFERROR(INDEX('Evaluation table'!$B$4:$F$8,MATCH(TRIM(SUBSTITUTE(J161,"’","'")),'Evaluation table'!$A$4:$A$8,0),MATCH(TRIM(SUBSTITUTE(K161,"’","'")),'Evaluation table'!$B$3:$F$3,0)),"?"))</f>
        <v/>
      </c>
      <c r="S161" s="11">
        <f>IF(OR(L161="",M161=""),"",IFERROR(INDEX('Evaluation table'!$B$4:$F$8,MATCH(TRIM(SUBSTITUTE(L161,"’","'")),'Evaluation table'!$A$4:$A$8,0),MATCH(TRIM(SUBSTITUTE(M161,"’","'")),'Evaluation table'!$B$3:$F$3,0)),"?"))</f>
        <v/>
      </c>
    </row>
    <row r="162">
      <c r="A162" s="2" t="n">
        <v>144</v>
      </c>
      <c r="B162" s="10" t="inlineStr">
        <is>
          <t>I like it</t>
        </is>
      </c>
      <c r="C162" s="10" t="inlineStr">
        <is>
          <t>I expect it</t>
        </is>
      </c>
      <c r="D162" s="10" t="inlineStr">
        <is>
          <t>I expect it</t>
        </is>
      </c>
      <c r="E162" s="10" t="inlineStr">
        <is>
          <t>I'm neutral</t>
        </is>
      </c>
      <c r="F162" s="10" t="inlineStr">
        <is>
          <t>I like it</t>
        </is>
      </c>
      <c r="G162" s="10" t="inlineStr">
        <is>
          <t>I dislike it</t>
        </is>
      </c>
      <c r="H162" s="10" t="inlineStr">
        <is>
          <t>I'm neutral</t>
        </is>
      </c>
      <c r="I162" s="10" t="inlineStr">
        <is>
          <t>I'm neutral</t>
        </is>
      </c>
      <c r="J162" s="10" t="inlineStr">
        <is>
          <t>I like it</t>
        </is>
      </c>
      <c r="K162" s="10" t="inlineStr">
        <is>
          <t>I'm neutral</t>
        </is>
      </c>
      <c r="L162" s="10" t="inlineStr">
        <is>
          <t>I expect it</t>
        </is>
      </c>
      <c r="M162" s="10" t="inlineStr">
        <is>
          <t>I dislike it</t>
        </is>
      </c>
      <c r="N162" s="11">
        <f>IF(OR(B162="",C162=""),"",IFERROR(INDEX('Evaluation table'!$B$4:$F$8,MATCH(TRIM(SUBSTITUTE(B162,"’","'")),'Evaluation table'!$A$4:$A$8,0),MATCH(TRIM(SUBSTITUTE(C162,"’","'")),'Evaluation table'!$B$3:$F$3,0)),"?"))</f>
        <v/>
      </c>
      <c r="O162" s="11">
        <f>IF(OR(D162="",E162=""),"",IFERROR(INDEX('Evaluation table'!$B$4:$F$8,MATCH(TRIM(SUBSTITUTE(D162,"’","'")),'Evaluation table'!$A$4:$A$8,0),MATCH(TRIM(SUBSTITUTE(E162,"’","'")),'Evaluation table'!$B$3:$F$3,0)),"?"))</f>
        <v/>
      </c>
      <c r="P162" s="11">
        <f>IF(OR(F162="",G162=""),"",IFERROR(INDEX('Evaluation table'!$B$4:$F$8,MATCH(TRIM(SUBSTITUTE(F162,"’","'")),'Evaluation table'!$A$4:$A$8,0),MATCH(TRIM(SUBSTITUTE(G162,"’","'")),'Evaluation table'!$B$3:$F$3,0)),"?"))</f>
        <v/>
      </c>
      <c r="Q162" s="11">
        <f>IF(OR(H162="",I162=""),"",IFERROR(INDEX('Evaluation table'!$B$4:$F$8,MATCH(TRIM(SUBSTITUTE(H162,"’","'")),'Evaluation table'!$A$4:$A$8,0),MATCH(TRIM(SUBSTITUTE(I162,"’","'")),'Evaluation table'!$B$3:$F$3,0)),"?"))</f>
        <v/>
      </c>
      <c r="R162" s="11">
        <f>IF(OR(J162="",K162=""),"",IFERROR(INDEX('Evaluation table'!$B$4:$F$8,MATCH(TRIM(SUBSTITUTE(J162,"’","'")),'Evaluation table'!$A$4:$A$8,0),MATCH(TRIM(SUBSTITUTE(K162,"’","'")),'Evaluation table'!$B$3:$F$3,0)),"?"))</f>
        <v/>
      </c>
      <c r="S162" s="11">
        <f>IF(OR(L162="",M162=""),"",IFERROR(INDEX('Evaluation table'!$B$4:$F$8,MATCH(TRIM(SUBSTITUTE(L162,"’","'")),'Evaluation table'!$A$4:$A$8,0),MATCH(TRIM(SUBSTITUTE(M162,"’","'")),'Evaluation table'!$B$3:$F$3,0)),"?"))</f>
        <v/>
      </c>
    </row>
    <row r="163">
      <c r="A163" s="2" t="n">
        <v>145</v>
      </c>
      <c r="B163" s="10" t="inlineStr">
        <is>
          <t>I like it</t>
        </is>
      </c>
      <c r="C163" s="10" t="inlineStr">
        <is>
          <t>I expect it</t>
        </is>
      </c>
      <c r="D163" s="10" t="inlineStr">
        <is>
          <t>I like it</t>
        </is>
      </c>
      <c r="E163" s="10" t="inlineStr">
        <is>
          <t>I dislike it</t>
        </is>
      </c>
      <c r="F163" s="10" t="inlineStr">
        <is>
          <t>I'm neutral</t>
        </is>
      </c>
      <c r="G163" s="10" t="inlineStr">
        <is>
          <t>I'm neutral</t>
        </is>
      </c>
      <c r="H163" s="10" t="inlineStr">
        <is>
          <t>I'm neutral</t>
        </is>
      </c>
      <c r="I163" s="10" t="inlineStr">
        <is>
          <t>I can tolerate it</t>
        </is>
      </c>
      <c r="J163" s="10" t="inlineStr">
        <is>
          <t>I like it</t>
        </is>
      </c>
      <c r="K163" s="10" t="inlineStr">
        <is>
          <t>I'm neutral</t>
        </is>
      </c>
      <c r="L163" s="10" t="inlineStr">
        <is>
          <t>I expect it</t>
        </is>
      </c>
      <c r="M163" s="10" t="inlineStr">
        <is>
          <t>I expect it</t>
        </is>
      </c>
      <c r="N163" s="11">
        <f>IF(OR(B163="",C163=""),"",IFERROR(INDEX('Evaluation table'!$B$4:$F$8,MATCH(TRIM(SUBSTITUTE(B163,"’","'")),'Evaluation table'!$A$4:$A$8,0),MATCH(TRIM(SUBSTITUTE(C163,"’","'")),'Evaluation table'!$B$3:$F$3,0)),"?"))</f>
        <v/>
      </c>
      <c r="O163" s="11">
        <f>IF(OR(D163="",E163=""),"",IFERROR(INDEX('Evaluation table'!$B$4:$F$8,MATCH(TRIM(SUBSTITUTE(D163,"’","'")),'Evaluation table'!$A$4:$A$8,0),MATCH(TRIM(SUBSTITUTE(E163,"’","'")),'Evaluation table'!$B$3:$F$3,0)),"?"))</f>
        <v/>
      </c>
      <c r="P163" s="11">
        <f>IF(OR(F163="",G163=""),"",IFERROR(INDEX('Evaluation table'!$B$4:$F$8,MATCH(TRIM(SUBSTITUTE(F163,"’","'")),'Evaluation table'!$A$4:$A$8,0),MATCH(TRIM(SUBSTITUTE(G163,"’","'")),'Evaluation table'!$B$3:$F$3,0)),"?"))</f>
        <v/>
      </c>
      <c r="Q163" s="11">
        <f>IF(OR(H163="",I163=""),"",IFERROR(INDEX('Evaluation table'!$B$4:$F$8,MATCH(TRIM(SUBSTITUTE(H163,"’","'")),'Evaluation table'!$A$4:$A$8,0),MATCH(TRIM(SUBSTITUTE(I163,"’","'")),'Evaluation table'!$B$3:$F$3,0)),"?"))</f>
        <v/>
      </c>
      <c r="R163" s="11">
        <f>IF(OR(J163="",K163=""),"",IFERROR(INDEX('Evaluation table'!$B$4:$F$8,MATCH(TRIM(SUBSTITUTE(J163,"’","'")),'Evaluation table'!$A$4:$A$8,0),MATCH(TRIM(SUBSTITUTE(K163,"’","'")),'Evaluation table'!$B$3:$F$3,0)),"?"))</f>
        <v/>
      </c>
      <c r="S163" s="11">
        <f>IF(OR(L163="",M163=""),"",IFERROR(INDEX('Evaluation table'!$B$4:$F$8,MATCH(TRIM(SUBSTITUTE(L163,"’","'")),'Evaluation table'!$A$4:$A$8,0),MATCH(TRIM(SUBSTITUTE(M163,"’","'")),'Evaluation table'!$B$3:$F$3,0)),"?"))</f>
        <v/>
      </c>
    </row>
    <row r="164">
      <c r="A164" s="2" t="n">
        <v>146</v>
      </c>
      <c r="B164" s="10" t="inlineStr">
        <is>
          <t>I like it</t>
        </is>
      </c>
      <c r="C164" s="10" t="inlineStr">
        <is>
          <t>I'm neutral</t>
        </is>
      </c>
      <c r="D164" s="10" t="inlineStr">
        <is>
          <t>I like it</t>
        </is>
      </c>
      <c r="E164" s="10" t="inlineStr">
        <is>
          <t>I dislike it</t>
        </is>
      </c>
      <c r="F164" s="10" t="inlineStr">
        <is>
          <t>I expect it</t>
        </is>
      </c>
      <c r="G164" s="10" t="inlineStr">
        <is>
          <t>I'm neutral</t>
        </is>
      </c>
      <c r="H164" s="10" t="inlineStr">
        <is>
          <t>I like it</t>
        </is>
      </c>
      <c r="I164" s="10" t="inlineStr">
        <is>
          <t>I dislike it</t>
        </is>
      </c>
      <c r="J164" s="10" t="inlineStr">
        <is>
          <t>I like it</t>
        </is>
      </c>
      <c r="K164" s="10" t="inlineStr">
        <is>
          <t>I'm neutral</t>
        </is>
      </c>
      <c r="L164" s="10" t="inlineStr">
        <is>
          <t>I can tolerate it</t>
        </is>
      </c>
      <c r="M164" s="10" t="inlineStr">
        <is>
          <t>I like it</t>
        </is>
      </c>
      <c r="N164" s="11">
        <f>IF(OR(B164="",C164=""),"",IFERROR(INDEX('Evaluation table'!$B$4:$F$8,MATCH(TRIM(SUBSTITUTE(B164,"’","'")),'Evaluation table'!$A$4:$A$8,0),MATCH(TRIM(SUBSTITUTE(C164,"’","'")),'Evaluation table'!$B$3:$F$3,0)),"?"))</f>
        <v/>
      </c>
      <c r="O164" s="11">
        <f>IF(OR(D164="",E164=""),"",IFERROR(INDEX('Evaluation table'!$B$4:$F$8,MATCH(TRIM(SUBSTITUTE(D164,"’","'")),'Evaluation table'!$A$4:$A$8,0),MATCH(TRIM(SUBSTITUTE(E164,"’","'")),'Evaluation table'!$B$3:$F$3,0)),"?"))</f>
        <v/>
      </c>
      <c r="P164" s="11">
        <f>IF(OR(F164="",G164=""),"",IFERROR(INDEX('Evaluation table'!$B$4:$F$8,MATCH(TRIM(SUBSTITUTE(F164,"’","'")),'Evaluation table'!$A$4:$A$8,0),MATCH(TRIM(SUBSTITUTE(G164,"’","'")),'Evaluation table'!$B$3:$F$3,0)),"?"))</f>
        <v/>
      </c>
      <c r="Q164" s="11">
        <f>IF(OR(H164="",I164=""),"",IFERROR(INDEX('Evaluation table'!$B$4:$F$8,MATCH(TRIM(SUBSTITUTE(H164,"’","'")),'Evaluation table'!$A$4:$A$8,0),MATCH(TRIM(SUBSTITUTE(I164,"’","'")),'Evaluation table'!$B$3:$F$3,0)),"?"))</f>
        <v/>
      </c>
      <c r="R164" s="11">
        <f>IF(OR(J164="",K164=""),"",IFERROR(INDEX('Evaluation table'!$B$4:$F$8,MATCH(TRIM(SUBSTITUTE(J164,"’","'")),'Evaluation table'!$A$4:$A$8,0),MATCH(TRIM(SUBSTITUTE(K164,"’","'")),'Evaluation table'!$B$3:$F$3,0)),"?"))</f>
        <v/>
      </c>
      <c r="S164" s="11">
        <f>IF(OR(L164="",M164=""),"",IFERROR(INDEX('Evaluation table'!$B$4:$F$8,MATCH(TRIM(SUBSTITUTE(L164,"’","'")),'Evaluation table'!$A$4:$A$8,0),MATCH(TRIM(SUBSTITUTE(M164,"’","'")),'Evaluation table'!$B$3:$F$3,0)),"?"))</f>
        <v/>
      </c>
    </row>
    <row r="165">
      <c r="A165" s="2" t="n">
        <v>147</v>
      </c>
      <c r="B165" s="10" t="inlineStr">
        <is>
          <t>I can tolerate it</t>
        </is>
      </c>
      <c r="C165" s="10" t="inlineStr">
        <is>
          <t>I dislike it</t>
        </is>
      </c>
      <c r="D165" s="10" t="inlineStr">
        <is>
          <t>I like it</t>
        </is>
      </c>
      <c r="E165" s="10" t="inlineStr">
        <is>
          <t>I dislike it</t>
        </is>
      </c>
      <c r="F165" s="10" t="inlineStr">
        <is>
          <t>I like it</t>
        </is>
      </c>
      <c r="G165" s="10" t="inlineStr">
        <is>
          <t>I can tolerate it</t>
        </is>
      </c>
      <c r="H165" s="10" t="inlineStr">
        <is>
          <t>I can tolerate it</t>
        </is>
      </c>
      <c r="I165" s="10" t="inlineStr">
        <is>
          <t>I can tolerate it</t>
        </is>
      </c>
      <c r="J165" s="10" t="inlineStr">
        <is>
          <t>I expect it</t>
        </is>
      </c>
      <c r="K165" s="10" t="inlineStr">
        <is>
          <t>I dislike it</t>
        </is>
      </c>
      <c r="L165" s="10" t="inlineStr">
        <is>
          <t>I like it</t>
        </is>
      </c>
      <c r="M165" s="10" t="inlineStr">
        <is>
          <t>I dislike it</t>
        </is>
      </c>
      <c r="N165" s="11">
        <f>IF(OR(B165="",C165=""),"",IFERROR(INDEX('Evaluation table'!$B$4:$F$8,MATCH(TRIM(SUBSTITUTE(B165,"’","'")),'Evaluation table'!$A$4:$A$8,0),MATCH(TRIM(SUBSTITUTE(C165,"’","'")),'Evaluation table'!$B$3:$F$3,0)),"?"))</f>
        <v/>
      </c>
      <c r="O165" s="11">
        <f>IF(OR(D165="",E165=""),"",IFERROR(INDEX('Evaluation table'!$B$4:$F$8,MATCH(TRIM(SUBSTITUTE(D165,"’","'")),'Evaluation table'!$A$4:$A$8,0),MATCH(TRIM(SUBSTITUTE(E165,"’","'")),'Evaluation table'!$B$3:$F$3,0)),"?"))</f>
        <v/>
      </c>
      <c r="P165" s="11">
        <f>IF(OR(F165="",G165=""),"",IFERROR(INDEX('Evaluation table'!$B$4:$F$8,MATCH(TRIM(SUBSTITUTE(F165,"’","'")),'Evaluation table'!$A$4:$A$8,0),MATCH(TRIM(SUBSTITUTE(G165,"’","'")),'Evaluation table'!$B$3:$F$3,0)),"?"))</f>
        <v/>
      </c>
      <c r="Q165" s="11">
        <f>IF(OR(H165="",I165=""),"",IFERROR(INDEX('Evaluation table'!$B$4:$F$8,MATCH(TRIM(SUBSTITUTE(H165,"’","'")),'Evaluation table'!$A$4:$A$8,0),MATCH(TRIM(SUBSTITUTE(I165,"’","'")),'Evaluation table'!$B$3:$F$3,0)),"?"))</f>
        <v/>
      </c>
      <c r="R165" s="11">
        <f>IF(OR(J165="",K165=""),"",IFERROR(INDEX('Evaluation table'!$B$4:$F$8,MATCH(TRIM(SUBSTITUTE(J165,"’","'")),'Evaluation table'!$A$4:$A$8,0),MATCH(TRIM(SUBSTITUTE(K165,"’","'")),'Evaluation table'!$B$3:$F$3,0)),"?"))</f>
        <v/>
      </c>
      <c r="S165" s="11">
        <f>IF(OR(L165="",M165=""),"",IFERROR(INDEX('Evaluation table'!$B$4:$F$8,MATCH(TRIM(SUBSTITUTE(L165,"’","'")),'Evaluation table'!$A$4:$A$8,0),MATCH(TRIM(SUBSTITUTE(M165,"’","'")),'Evaluation table'!$B$3:$F$3,0)),"?"))</f>
        <v/>
      </c>
    </row>
    <row r="166">
      <c r="A166" s="2" t="n">
        <v>148</v>
      </c>
      <c r="B166" s="10" t="inlineStr">
        <is>
          <t>I'm neutral</t>
        </is>
      </c>
      <c r="C166" s="10" t="inlineStr">
        <is>
          <t>I dislike it</t>
        </is>
      </c>
      <c r="D166" s="10" t="inlineStr">
        <is>
          <t>I expect it</t>
        </is>
      </c>
      <c r="E166" s="10" t="inlineStr">
        <is>
          <t>I'm neutral</t>
        </is>
      </c>
      <c r="F166" s="10" t="inlineStr">
        <is>
          <t>I like it</t>
        </is>
      </c>
      <c r="G166" s="10" t="inlineStr">
        <is>
          <t>I'm neutral</t>
        </is>
      </c>
      <c r="H166" s="10" t="inlineStr">
        <is>
          <t>I'm neutral</t>
        </is>
      </c>
      <c r="I166" s="10" t="inlineStr">
        <is>
          <t>I dislike it</t>
        </is>
      </c>
      <c r="J166" s="10" t="inlineStr">
        <is>
          <t>I'm neutral</t>
        </is>
      </c>
      <c r="K166" s="10" t="inlineStr">
        <is>
          <t>I can tolerate it</t>
        </is>
      </c>
      <c r="L166" s="10" t="inlineStr">
        <is>
          <t>I dislike it</t>
        </is>
      </c>
      <c r="M166" s="10" t="inlineStr">
        <is>
          <t>I can tolerate it</t>
        </is>
      </c>
      <c r="N166" s="11">
        <f>IF(OR(B166="",C166=""),"",IFERROR(INDEX('Evaluation table'!$B$4:$F$8,MATCH(TRIM(SUBSTITUTE(B166,"’","'")),'Evaluation table'!$A$4:$A$8,0),MATCH(TRIM(SUBSTITUTE(C166,"’","'")),'Evaluation table'!$B$3:$F$3,0)),"?"))</f>
        <v/>
      </c>
      <c r="O166" s="11">
        <f>IF(OR(D166="",E166=""),"",IFERROR(INDEX('Evaluation table'!$B$4:$F$8,MATCH(TRIM(SUBSTITUTE(D166,"’","'")),'Evaluation table'!$A$4:$A$8,0),MATCH(TRIM(SUBSTITUTE(E166,"’","'")),'Evaluation table'!$B$3:$F$3,0)),"?"))</f>
        <v/>
      </c>
      <c r="P166" s="11">
        <f>IF(OR(F166="",G166=""),"",IFERROR(INDEX('Evaluation table'!$B$4:$F$8,MATCH(TRIM(SUBSTITUTE(F166,"’","'")),'Evaluation table'!$A$4:$A$8,0),MATCH(TRIM(SUBSTITUTE(G166,"’","'")),'Evaluation table'!$B$3:$F$3,0)),"?"))</f>
        <v/>
      </c>
      <c r="Q166" s="11">
        <f>IF(OR(H166="",I166=""),"",IFERROR(INDEX('Evaluation table'!$B$4:$F$8,MATCH(TRIM(SUBSTITUTE(H166,"’","'")),'Evaluation table'!$A$4:$A$8,0),MATCH(TRIM(SUBSTITUTE(I166,"’","'")),'Evaluation table'!$B$3:$F$3,0)),"?"))</f>
        <v/>
      </c>
      <c r="R166" s="11">
        <f>IF(OR(J166="",K166=""),"",IFERROR(INDEX('Evaluation table'!$B$4:$F$8,MATCH(TRIM(SUBSTITUTE(J166,"’","'")),'Evaluation table'!$A$4:$A$8,0),MATCH(TRIM(SUBSTITUTE(K166,"’","'")),'Evaluation table'!$B$3:$F$3,0)),"?"))</f>
        <v/>
      </c>
      <c r="S166" s="11">
        <f>IF(OR(L166="",M166=""),"",IFERROR(INDEX('Evaluation table'!$B$4:$F$8,MATCH(TRIM(SUBSTITUTE(L166,"’","'")),'Evaluation table'!$A$4:$A$8,0),MATCH(TRIM(SUBSTITUTE(M166,"’","'")),'Evaluation table'!$B$3:$F$3,0)),"?"))</f>
        <v/>
      </c>
    </row>
    <row r="167">
      <c r="A167" s="2" t="n">
        <v>149</v>
      </c>
      <c r="B167" s="10" t="inlineStr">
        <is>
          <t>I expect it</t>
        </is>
      </c>
      <c r="C167" s="10" t="inlineStr">
        <is>
          <t>I dislike it</t>
        </is>
      </c>
      <c r="D167" s="10" t="inlineStr">
        <is>
          <t>I like it</t>
        </is>
      </c>
      <c r="E167" s="10" t="inlineStr">
        <is>
          <t>I dislike it</t>
        </is>
      </c>
      <c r="F167" s="10" t="inlineStr">
        <is>
          <t>I like it</t>
        </is>
      </c>
      <c r="G167" s="10" t="inlineStr">
        <is>
          <t>I'm neutral</t>
        </is>
      </c>
      <c r="H167" s="10" t="inlineStr">
        <is>
          <t>I like it</t>
        </is>
      </c>
      <c r="I167" s="10" t="inlineStr">
        <is>
          <t>I dislike it</t>
        </is>
      </c>
      <c r="J167" s="10" t="inlineStr">
        <is>
          <t>I'm neutral</t>
        </is>
      </c>
      <c r="K167" s="10" t="inlineStr">
        <is>
          <t>I'm neutral</t>
        </is>
      </c>
      <c r="L167" s="10" t="inlineStr">
        <is>
          <t>I'm neutral</t>
        </is>
      </c>
      <c r="M167" s="10" t="inlineStr">
        <is>
          <t>I like it</t>
        </is>
      </c>
      <c r="N167" s="11">
        <f>IF(OR(B167="",C167=""),"",IFERROR(INDEX('Evaluation table'!$B$4:$F$8,MATCH(TRIM(SUBSTITUTE(B167,"’","'")),'Evaluation table'!$A$4:$A$8,0),MATCH(TRIM(SUBSTITUTE(C167,"’","'")),'Evaluation table'!$B$3:$F$3,0)),"?"))</f>
        <v/>
      </c>
      <c r="O167" s="11">
        <f>IF(OR(D167="",E167=""),"",IFERROR(INDEX('Evaluation table'!$B$4:$F$8,MATCH(TRIM(SUBSTITUTE(D167,"’","'")),'Evaluation table'!$A$4:$A$8,0),MATCH(TRIM(SUBSTITUTE(E167,"’","'")),'Evaluation table'!$B$3:$F$3,0)),"?"))</f>
        <v/>
      </c>
      <c r="P167" s="11">
        <f>IF(OR(F167="",G167=""),"",IFERROR(INDEX('Evaluation table'!$B$4:$F$8,MATCH(TRIM(SUBSTITUTE(F167,"’","'")),'Evaluation table'!$A$4:$A$8,0),MATCH(TRIM(SUBSTITUTE(G167,"’","'")),'Evaluation table'!$B$3:$F$3,0)),"?"))</f>
        <v/>
      </c>
      <c r="Q167" s="11">
        <f>IF(OR(H167="",I167=""),"",IFERROR(INDEX('Evaluation table'!$B$4:$F$8,MATCH(TRIM(SUBSTITUTE(H167,"’","'")),'Evaluation table'!$A$4:$A$8,0),MATCH(TRIM(SUBSTITUTE(I167,"’","'")),'Evaluation table'!$B$3:$F$3,0)),"?"))</f>
        <v/>
      </c>
      <c r="R167" s="11">
        <f>IF(OR(J167="",K167=""),"",IFERROR(INDEX('Evaluation table'!$B$4:$F$8,MATCH(TRIM(SUBSTITUTE(J167,"’","'")),'Evaluation table'!$A$4:$A$8,0),MATCH(TRIM(SUBSTITUTE(K167,"’","'")),'Evaluation table'!$B$3:$F$3,0)),"?"))</f>
        <v/>
      </c>
      <c r="S167" s="11">
        <f>IF(OR(L167="",M167=""),"",IFERROR(INDEX('Evaluation table'!$B$4:$F$8,MATCH(TRIM(SUBSTITUTE(L167,"’","'")),'Evaluation table'!$A$4:$A$8,0),MATCH(TRIM(SUBSTITUTE(M167,"’","'")),'Evaluation table'!$B$3:$F$3,0)),"?"))</f>
        <v/>
      </c>
    </row>
    <row r="168">
      <c r="A168" s="2" t="n">
        <v>150</v>
      </c>
      <c r="B168" s="10" t="inlineStr">
        <is>
          <t>I can tolerate it</t>
        </is>
      </c>
      <c r="C168" s="10" t="inlineStr">
        <is>
          <t>I'm neutral</t>
        </is>
      </c>
      <c r="D168" s="10" t="inlineStr">
        <is>
          <t>I expect it</t>
        </is>
      </c>
      <c r="E168" s="10" t="inlineStr">
        <is>
          <t>I dislike it</t>
        </is>
      </c>
      <c r="F168" s="10" t="inlineStr">
        <is>
          <t>I like it</t>
        </is>
      </c>
      <c r="G168" s="10" t="inlineStr">
        <is>
          <t>I'm neutral</t>
        </is>
      </c>
      <c r="H168" s="10" t="inlineStr">
        <is>
          <t>I expect it</t>
        </is>
      </c>
      <c r="I168" s="10" t="inlineStr">
        <is>
          <t>I'm neutral</t>
        </is>
      </c>
      <c r="J168" s="10" t="inlineStr">
        <is>
          <t>I like it</t>
        </is>
      </c>
      <c r="K168" s="10" t="inlineStr">
        <is>
          <t>I'm neutral</t>
        </is>
      </c>
      <c r="L168" s="10" t="inlineStr">
        <is>
          <t>I like it</t>
        </is>
      </c>
      <c r="M168" s="10" t="inlineStr">
        <is>
          <t>I'm neutral</t>
        </is>
      </c>
      <c r="N168" s="11">
        <f>IF(OR(B168="",C168=""),"",IFERROR(INDEX('Evaluation table'!$B$4:$F$8,MATCH(TRIM(SUBSTITUTE(B168,"’","'")),'Evaluation table'!$A$4:$A$8,0),MATCH(TRIM(SUBSTITUTE(C168,"’","'")),'Evaluation table'!$B$3:$F$3,0)),"?"))</f>
        <v/>
      </c>
      <c r="O168" s="11">
        <f>IF(OR(D168="",E168=""),"",IFERROR(INDEX('Evaluation table'!$B$4:$F$8,MATCH(TRIM(SUBSTITUTE(D168,"’","'")),'Evaluation table'!$A$4:$A$8,0),MATCH(TRIM(SUBSTITUTE(E168,"’","'")),'Evaluation table'!$B$3:$F$3,0)),"?"))</f>
        <v/>
      </c>
      <c r="P168" s="11">
        <f>IF(OR(F168="",G168=""),"",IFERROR(INDEX('Evaluation table'!$B$4:$F$8,MATCH(TRIM(SUBSTITUTE(F168,"’","'")),'Evaluation table'!$A$4:$A$8,0),MATCH(TRIM(SUBSTITUTE(G168,"’","'")),'Evaluation table'!$B$3:$F$3,0)),"?"))</f>
        <v/>
      </c>
      <c r="Q168" s="11">
        <f>IF(OR(H168="",I168=""),"",IFERROR(INDEX('Evaluation table'!$B$4:$F$8,MATCH(TRIM(SUBSTITUTE(H168,"’","'")),'Evaluation table'!$A$4:$A$8,0),MATCH(TRIM(SUBSTITUTE(I168,"’","'")),'Evaluation table'!$B$3:$F$3,0)),"?"))</f>
        <v/>
      </c>
      <c r="R168" s="11">
        <f>IF(OR(J168="",K168=""),"",IFERROR(INDEX('Evaluation table'!$B$4:$F$8,MATCH(TRIM(SUBSTITUTE(J168,"’","'")),'Evaluation table'!$A$4:$A$8,0),MATCH(TRIM(SUBSTITUTE(K168,"’","'")),'Evaluation table'!$B$3:$F$3,0)),"?"))</f>
        <v/>
      </c>
      <c r="S168" s="11">
        <f>IF(OR(L168="",M168=""),"",IFERROR(INDEX('Evaluation table'!$B$4:$F$8,MATCH(TRIM(SUBSTITUTE(L168,"’","'")),'Evaluation table'!$A$4:$A$8,0),MATCH(TRIM(SUBSTITUTE(M168,"’","'")),'Evaluation table'!$B$3:$F$3,0)),"?"))</f>
        <v/>
      </c>
    </row>
  </sheetData>
  <dataValidations count="1">
    <dataValidation sqref="B19:M168" showDropDown="0" showInputMessage="0" showErrorMessage="0" allowBlank="1" type="list">
      <formula1>"I like it,I expect it,I'm neutral,I can tolerate it,I dislike it"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Kano · your features</t>
        </is>
      </c>
    </row>
    <row r="2">
      <c r="A2" s="2" t="inlineStr">
        <is>
          <t>Paste the 12 answer columns (values only) into B19. Categories fill from the Evaluation table; the summary and chart update.</t>
        </is>
      </c>
    </row>
    <row r="4">
      <c r="A4" s="3" t="inlineStr">
        <is>
          <t>Feature</t>
        </is>
      </c>
      <c r="B4" s="3" t="inlineStr">
        <is>
          <t>Must-be</t>
        </is>
      </c>
      <c r="C4" s="3" t="inlineStr">
        <is>
          <t>One-dimensional</t>
        </is>
      </c>
      <c r="D4" s="3" t="inlineStr">
        <is>
          <t>Attractive</t>
        </is>
      </c>
      <c r="E4" s="3" t="inlineStr">
        <is>
          <t>Indifferent</t>
        </is>
      </c>
      <c r="F4" s="3" t="inlineStr">
        <is>
          <t>Reverse</t>
        </is>
      </c>
      <c r="G4" s="3" t="inlineStr">
        <is>
          <t>Top category</t>
        </is>
      </c>
      <c r="H4" s="3" t="inlineStr">
        <is>
          <t>Runner-up</t>
        </is>
      </c>
      <c r="I4" s="3" t="inlineStr">
        <is>
          <t>Q dropped</t>
        </is>
      </c>
      <c r="J4" s="3" t="inlineStr">
        <is>
          <t>Valid</t>
        </is>
      </c>
    </row>
    <row r="5">
      <c r="A5" s="4" t="inlineStr">
        <is>
          <t>Feature 1</t>
        </is>
      </c>
      <c r="B5" s="5">
        <f>IF($J5=0,"",COUNTIF($N$19:$N$168,"M")/$J5)</f>
        <v/>
      </c>
      <c r="C5" s="5">
        <f>IF($J5=0,"",COUNTIF($N$19:$N$168,"O")/$J5)</f>
        <v/>
      </c>
      <c r="D5" s="5">
        <f>IF($J5=0,"",COUNTIF($N$19:$N$168,"A")/$J5)</f>
        <v/>
      </c>
      <c r="E5" s="5">
        <f>IF($J5=0,"",COUNTIF($N$19:$N$168,"I")/$J5)</f>
        <v/>
      </c>
      <c r="F5" s="5">
        <f>IF($J5=0,"",COUNTIF($N$19:$N$168,"R")/$J5)</f>
        <v/>
      </c>
      <c r="G5" s="6">
        <f>IF($J5=0,"",INDEX($B$4:$F$4,MATCH(MAX($B5:$F5),$B5:$F5,0)))</f>
        <v/>
      </c>
      <c r="H5" s="7">
        <f>IF($J5=0,"",INDEX($B$4:$F$4,MATCH(LARGE($B5:$F5,2),$B5:$F5,0)))</f>
        <v/>
      </c>
      <c r="I5" s="7">
        <f>COUNTIF($N$19:$N$168,"Q")</f>
        <v/>
      </c>
      <c r="J5" s="7">
        <f>COUNTIF($N$19:$N$168,"M")+COUNTIF($N$19:$N$168,"O")+COUNTIF($N$19:$N$168,"A")+COUNTIF($N$19:$N$168,"I")+COUNTIF($N$19:$N$168,"R")</f>
        <v/>
      </c>
    </row>
    <row r="6">
      <c r="A6" s="4" t="inlineStr">
        <is>
          <t>Feature 2</t>
        </is>
      </c>
      <c r="B6" s="5">
        <f>IF($J6=0,"",COUNTIF($O$19:$O$168,"M")/$J6)</f>
        <v/>
      </c>
      <c r="C6" s="5">
        <f>IF($J6=0,"",COUNTIF($O$19:$O$168,"O")/$J6)</f>
        <v/>
      </c>
      <c r="D6" s="5">
        <f>IF($J6=0,"",COUNTIF($O$19:$O$168,"A")/$J6)</f>
        <v/>
      </c>
      <c r="E6" s="5">
        <f>IF($J6=0,"",COUNTIF($O$19:$O$168,"I")/$J6)</f>
        <v/>
      </c>
      <c r="F6" s="5">
        <f>IF($J6=0,"",COUNTIF($O$19:$O$168,"R")/$J6)</f>
        <v/>
      </c>
      <c r="G6" s="6">
        <f>IF($J6=0,"",INDEX($B$4:$F$4,MATCH(MAX($B6:$F6),$B6:$F6,0)))</f>
        <v/>
      </c>
      <c r="H6" s="7">
        <f>IF($J6=0,"",INDEX($B$4:$F$4,MATCH(LARGE($B6:$F6,2),$B6:$F6,0)))</f>
        <v/>
      </c>
      <c r="I6" s="7">
        <f>COUNTIF($O$19:$O$168,"Q")</f>
        <v/>
      </c>
      <c r="J6" s="7">
        <f>COUNTIF($O$19:$O$168,"M")+COUNTIF($O$19:$O$168,"O")+COUNTIF($O$19:$O$168,"A")+COUNTIF($O$19:$O$168,"I")+COUNTIF($O$19:$O$168,"R")</f>
        <v/>
      </c>
    </row>
    <row r="7">
      <c r="A7" s="4" t="inlineStr">
        <is>
          <t>Feature 3</t>
        </is>
      </c>
      <c r="B7" s="5">
        <f>IF($J7=0,"",COUNTIF($P$19:$P$168,"M")/$J7)</f>
        <v/>
      </c>
      <c r="C7" s="5">
        <f>IF($J7=0,"",COUNTIF($P$19:$P$168,"O")/$J7)</f>
        <v/>
      </c>
      <c r="D7" s="5">
        <f>IF($J7=0,"",COUNTIF($P$19:$P$168,"A")/$J7)</f>
        <v/>
      </c>
      <c r="E7" s="5">
        <f>IF($J7=0,"",COUNTIF($P$19:$P$168,"I")/$J7)</f>
        <v/>
      </c>
      <c r="F7" s="5">
        <f>IF($J7=0,"",COUNTIF($P$19:$P$168,"R")/$J7)</f>
        <v/>
      </c>
      <c r="G7" s="6">
        <f>IF($J7=0,"",INDEX($B$4:$F$4,MATCH(MAX($B7:$F7),$B7:$F7,0)))</f>
        <v/>
      </c>
      <c r="H7" s="7">
        <f>IF($J7=0,"",INDEX($B$4:$F$4,MATCH(LARGE($B7:$F7,2),$B7:$F7,0)))</f>
        <v/>
      </c>
      <c r="I7" s="7">
        <f>COUNTIF($P$19:$P$168,"Q")</f>
        <v/>
      </c>
      <c r="J7" s="7">
        <f>COUNTIF($P$19:$P$168,"M")+COUNTIF($P$19:$P$168,"O")+COUNTIF($P$19:$P$168,"A")+COUNTIF($P$19:$P$168,"I")+COUNTIF($P$19:$P$168,"R")</f>
        <v/>
      </c>
    </row>
    <row r="8">
      <c r="A8" s="4" t="inlineStr">
        <is>
          <t>Feature 4</t>
        </is>
      </c>
      <c r="B8" s="5">
        <f>IF($J8=0,"",COUNTIF($Q$19:$Q$168,"M")/$J8)</f>
        <v/>
      </c>
      <c r="C8" s="5">
        <f>IF($J8=0,"",COUNTIF($Q$19:$Q$168,"O")/$J8)</f>
        <v/>
      </c>
      <c r="D8" s="5">
        <f>IF($J8=0,"",COUNTIF($Q$19:$Q$168,"A")/$J8)</f>
        <v/>
      </c>
      <c r="E8" s="5">
        <f>IF($J8=0,"",COUNTIF($Q$19:$Q$168,"I")/$J8)</f>
        <v/>
      </c>
      <c r="F8" s="5">
        <f>IF($J8=0,"",COUNTIF($Q$19:$Q$168,"R")/$J8)</f>
        <v/>
      </c>
      <c r="G8" s="6">
        <f>IF($J8=0,"",INDEX($B$4:$F$4,MATCH(MAX($B8:$F8),$B8:$F8,0)))</f>
        <v/>
      </c>
      <c r="H8" s="7">
        <f>IF($J8=0,"",INDEX($B$4:$F$4,MATCH(LARGE($B8:$F8,2),$B8:$F8,0)))</f>
        <v/>
      </c>
      <c r="I8" s="7">
        <f>COUNTIF($Q$19:$Q$168,"Q")</f>
        <v/>
      </c>
      <c r="J8" s="7">
        <f>COUNTIF($Q$19:$Q$168,"M")+COUNTIF($Q$19:$Q$168,"O")+COUNTIF($Q$19:$Q$168,"A")+COUNTIF($Q$19:$Q$168,"I")+COUNTIF($Q$19:$Q$168,"R")</f>
        <v/>
      </c>
    </row>
    <row r="9">
      <c r="A9" s="4" t="inlineStr">
        <is>
          <t>Feature 5</t>
        </is>
      </c>
      <c r="B9" s="5">
        <f>IF($J9=0,"",COUNTIF($R$19:$R$168,"M")/$J9)</f>
        <v/>
      </c>
      <c r="C9" s="5">
        <f>IF($J9=0,"",COUNTIF($R$19:$R$168,"O")/$J9)</f>
        <v/>
      </c>
      <c r="D9" s="5">
        <f>IF($J9=0,"",COUNTIF($R$19:$R$168,"A")/$J9)</f>
        <v/>
      </c>
      <c r="E9" s="5">
        <f>IF($J9=0,"",COUNTIF($R$19:$R$168,"I")/$J9)</f>
        <v/>
      </c>
      <c r="F9" s="5">
        <f>IF($J9=0,"",COUNTIF($R$19:$R$168,"R")/$J9)</f>
        <v/>
      </c>
      <c r="G9" s="6">
        <f>IF($J9=0,"",INDEX($B$4:$F$4,MATCH(MAX($B9:$F9),$B9:$F9,0)))</f>
        <v/>
      </c>
      <c r="H9" s="7">
        <f>IF($J9=0,"",INDEX($B$4:$F$4,MATCH(LARGE($B9:$F9,2),$B9:$F9,0)))</f>
        <v/>
      </c>
      <c r="I9" s="7">
        <f>COUNTIF($R$19:$R$168,"Q")</f>
        <v/>
      </c>
      <c r="J9" s="7">
        <f>COUNTIF($R$19:$R$168,"M")+COUNTIF($R$19:$R$168,"O")+COUNTIF($R$19:$R$168,"A")+COUNTIF($R$19:$R$168,"I")+COUNTIF($R$19:$R$168,"R")</f>
        <v/>
      </c>
    </row>
    <row r="10">
      <c r="A10" s="4" t="inlineStr">
        <is>
          <t>Feature 6</t>
        </is>
      </c>
      <c r="B10" s="5">
        <f>IF($J10=0,"",COUNTIF($S$19:$S$168,"M")/$J10)</f>
        <v/>
      </c>
      <c r="C10" s="5">
        <f>IF($J10=0,"",COUNTIF($S$19:$S$168,"O")/$J10)</f>
        <v/>
      </c>
      <c r="D10" s="5">
        <f>IF($J10=0,"",COUNTIF($S$19:$S$168,"A")/$J10)</f>
        <v/>
      </c>
      <c r="E10" s="5">
        <f>IF($J10=0,"",COUNTIF($S$19:$S$168,"I")/$J10)</f>
        <v/>
      </c>
      <c r="F10" s="5">
        <f>IF($J10=0,"",COUNTIF($S$19:$S$168,"R")/$J10)</f>
        <v/>
      </c>
      <c r="G10" s="6">
        <f>IF($J10=0,"",INDEX($B$4:$F$4,MATCH(MAX($B10:$F10),$B10:$F10,0)))</f>
        <v/>
      </c>
      <c r="H10" s="7">
        <f>IF($J10=0,"",INDEX($B$4:$F$4,MATCH(LARGE($B10:$F10,2),$B10:$F10,0)))</f>
        <v/>
      </c>
      <c r="I10" s="7">
        <f>COUNTIF($S$19:$S$168,"Q")</f>
        <v/>
      </c>
      <c r="J10" s="7">
        <f>COUNTIF($S$19:$S$168,"M")+COUNTIF($S$19:$S$168,"O")+COUNTIF($S$19:$S$168,"A")+COUNTIF($S$19:$S$168,"I")+COUNTIF($S$19:$S$168,"R")</f>
        <v/>
      </c>
    </row>
    <row r="12">
      <c r="A12" s="2" t="inlineStr">
        <is>
          <t>Read the runner-up too: two close categories = contested, not settled. Many Q? Rewrite the question.</t>
        </is>
      </c>
    </row>
    <row r="18" ht="46" customHeight="1">
      <c r="A18" s="8" t="inlineStr">
        <is>
          <t>#</t>
        </is>
      </c>
      <c r="B18" s="9" t="inlineStr">
        <is>
          <t>Feature 1 · with</t>
        </is>
      </c>
      <c r="C18" s="9" t="inlineStr">
        <is>
          <t>Feature 1 · without</t>
        </is>
      </c>
      <c r="D18" s="9" t="inlineStr">
        <is>
          <t>Feature 2 · with</t>
        </is>
      </c>
      <c r="E18" s="9" t="inlineStr">
        <is>
          <t>Feature 2 · without</t>
        </is>
      </c>
      <c r="F18" s="9" t="inlineStr">
        <is>
          <t>Feature 3 · with</t>
        </is>
      </c>
      <c r="G18" s="9" t="inlineStr">
        <is>
          <t>Feature 3 · without</t>
        </is>
      </c>
      <c r="H18" s="9" t="inlineStr">
        <is>
          <t>Feature 4 · with</t>
        </is>
      </c>
      <c r="I18" s="9" t="inlineStr">
        <is>
          <t>Feature 4 · without</t>
        </is>
      </c>
      <c r="J18" s="9" t="inlineStr">
        <is>
          <t>Feature 5 · with</t>
        </is>
      </c>
      <c r="K18" s="9" t="inlineStr">
        <is>
          <t>Feature 5 · without</t>
        </is>
      </c>
      <c r="L18" s="9" t="inlineStr">
        <is>
          <t>Feature 6 · with</t>
        </is>
      </c>
      <c r="M18" s="9" t="inlineStr">
        <is>
          <t>Feature 6 · without</t>
        </is>
      </c>
      <c r="N18" s="9" t="inlineStr">
        <is>
          <t>Feature 1 · category</t>
        </is>
      </c>
      <c r="O18" s="9" t="inlineStr">
        <is>
          <t>Feature 2 · category</t>
        </is>
      </c>
      <c r="P18" s="9" t="inlineStr">
        <is>
          <t>Feature 3 · category</t>
        </is>
      </c>
      <c r="Q18" s="9" t="inlineStr">
        <is>
          <t>Feature 4 · category</t>
        </is>
      </c>
      <c r="R18" s="9" t="inlineStr">
        <is>
          <t>Feature 5 · category</t>
        </is>
      </c>
      <c r="S18" s="9" t="inlineStr">
        <is>
          <t>Feature 6 · category</t>
        </is>
      </c>
    </row>
    <row r="19">
      <c r="A19" s="2" t="n">
        <v>1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>
        <f>IF(OR(B19="",C19=""),"",IFERROR(INDEX('Evaluation table'!$B$4:$F$8,MATCH(TRIM(SUBSTITUTE(B19,"’","'")),'Evaluation table'!$A$4:$A$8,0),MATCH(TRIM(SUBSTITUTE(C19,"’","'")),'Evaluation table'!$B$3:$F$3,0)),"?"))</f>
        <v/>
      </c>
      <c r="O19" s="11">
        <f>IF(OR(D19="",E19=""),"",IFERROR(INDEX('Evaluation table'!$B$4:$F$8,MATCH(TRIM(SUBSTITUTE(D19,"’","'")),'Evaluation table'!$A$4:$A$8,0),MATCH(TRIM(SUBSTITUTE(E19,"’","'")),'Evaluation table'!$B$3:$F$3,0)),"?"))</f>
        <v/>
      </c>
      <c r="P19" s="11">
        <f>IF(OR(F19="",G19=""),"",IFERROR(INDEX('Evaluation table'!$B$4:$F$8,MATCH(TRIM(SUBSTITUTE(F19,"’","'")),'Evaluation table'!$A$4:$A$8,0),MATCH(TRIM(SUBSTITUTE(G19,"’","'")),'Evaluation table'!$B$3:$F$3,0)),"?"))</f>
        <v/>
      </c>
      <c r="Q19" s="11">
        <f>IF(OR(H19="",I19=""),"",IFERROR(INDEX('Evaluation table'!$B$4:$F$8,MATCH(TRIM(SUBSTITUTE(H19,"’","'")),'Evaluation table'!$A$4:$A$8,0),MATCH(TRIM(SUBSTITUTE(I19,"’","'")),'Evaluation table'!$B$3:$F$3,0)),"?"))</f>
        <v/>
      </c>
      <c r="R19" s="11">
        <f>IF(OR(J19="",K19=""),"",IFERROR(INDEX('Evaluation table'!$B$4:$F$8,MATCH(TRIM(SUBSTITUTE(J19,"’","'")),'Evaluation table'!$A$4:$A$8,0),MATCH(TRIM(SUBSTITUTE(K19,"’","'")),'Evaluation table'!$B$3:$F$3,0)),"?"))</f>
        <v/>
      </c>
      <c r="S19" s="11">
        <f>IF(OR(L19="",M19=""),"",IFERROR(INDEX('Evaluation table'!$B$4:$F$8,MATCH(TRIM(SUBSTITUTE(L19,"’","'")),'Evaluation table'!$A$4:$A$8,0),MATCH(TRIM(SUBSTITUTE(M19,"’","'")),'Evaluation table'!$B$3:$F$3,0)),"?"))</f>
        <v/>
      </c>
    </row>
    <row r="20">
      <c r="A20" s="2" t="n">
        <v>2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>
        <f>IF(OR(B20="",C20=""),"",IFERROR(INDEX('Evaluation table'!$B$4:$F$8,MATCH(TRIM(SUBSTITUTE(B20,"’","'")),'Evaluation table'!$A$4:$A$8,0),MATCH(TRIM(SUBSTITUTE(C20,"’","'")),'Evaluation table'!$B$3:$F$3,0)),"?"))</f>
        <v/>
      </c>
      <c r="O20" s="11">
        <f>IF(OR(D20="",E20=""),"",IFERROR(INDEX('Evaluation table'!$B$4:$F$8,MATCH(TRIM(SUBSTITUTE(D20,"’","'")),'Evaluation table'!$A$4:$A$8,0),MATCH(TRIM(SUBSTITUTE(E20,"’","'")),'Evaluation table'!$B$3:$F$3,0)),"?"))</f>
        <v/>
      </c>
      <c r="P20" s="11">
        <f>IF(OR(F20="",G20=""),"",IFERROR(INDEX('Evaluation table'!$B$4:$F$8,MATCH(TRIM(SUBSTITUTE(F20,"’","'")),'Evaluation table'!$A$4:$A$8,0),MATCH(TRIM(SUBSTITUTE(G20,"’","'")),'Evaluation table'!$B$3:$F$3,0)),"?"))</f>
        <v/>
      </c>
      <c r="Q20" s="11">
        <f>IF(OR(H20="",I20=""),"",IFERROR(INDEX('Evaluation table'!$B$4:$F$8,MATCH(TRIM(SUBSTITUTE(H20,"’","'")),'Evaluation table'!$A$4:$A$8,0),MATCH(TRIM(SUBSTITUTE(I20,"’","'")),'Evaluation table'!$B$3:$F$3,0)),"?"))</f>
        <v/>
      </c>
      <c r="R20" s="11">
        <f>IF(OR(J20="",K20=""),"",IFERROR(INDEX('Evaluation table'!$B$4:$F$8,MATCH(TRIM(SUBSTITUTE(J20,"’","'")),'Evaluation table'!$A$4:$A$8,0),MATCH(TRIM(SUBSTITUTE(K20,"’","'")),'Evaluation table'!$B$3:$F$3,0)),"?"))</f>
        <v/>
      </c>
      <c r="S20" s="11">
        <f>IF(OR(L20="",M20=""),"",IFERROR(INDEX('Evaluation table'!$B$4:$F$8,MATCH(TRIM(SUBSTITUTE(L20,"’","'")),'Evaluation table'!$A$4:$A$8,0),MATCH(TRIM(SUBSTITUTE(M20,"’","'")),'Evaluation table'!$B$3:$F$3,0)),"?"))</f>
        <v/>
      </c>
    </row>
    <row r="21">
      <c r="A21" s="2" t="n">
        <v>3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>
        <f>IF(OR(B21="",C21=""),"",IFERROR(INDEX('Evaluation table'!$B$4:$F$8,MATCH(TRIM(SUBSTITUTE(B21,"’","'")),'Evaluation table'!$A$4:$A$8,0),MATCH(TRIM(SUBSTITUTE(C21,"’","'")),'Evaluation table'!$B$3:$F$3,0)),"?"))</f>
        <v/>
      </c>
      <c r="O21" s="11">
        <f>IF(OR(D21="",E21=""),"",IFERROR(INDEX('Evaluation table'!$B$4:$F$8,MATCH(TRIM(SUBSTITUTE(D21,"’","'")),'Evaluation table'!$A$4:$A$8,0),MATCH(TRIM(SUBSTITUTE(E21,"’","'")),'Evaluation table'!$B$3:$F$3,0)),"?"))</f>
        <v/>
      </c>
      <c r="P21" s="11">
        <f>IF(OR(F21="",G21=""),"",IFERROR(INDEX('Evaluation table'!$B$4:$F$8,MATCH(TRIM(SUBSTITUTE(F21,"’","'")),'Evaluation table'!$A$4:$A$8,0),MATCH(TRIM(SUBSTITUTE(G21,"’","'")),'Evaluation table'!$B$3:$F$3,0)),"?"))</f>
        <v/>
      </c>
      <c r="Q21" s="11">
        <f>IF(OR(H21="",I21=""),"",IFERROR(INDEX('Evaluation table'!$B$4:$F$8,MATCH(TRIM(SUBSTITUTE(H21,"’","'")),'Evaluation table'!$A$4:$A$8,0),MATCH(TRIM(SUBSTITUTE(I21,"’","'")),'Evaluation table'!$B$3:$F$3,0)),"?"))</f>
        <v/>
      </c>
      <c r="R21" s="11">
        <f>IF(OR(J21="",K21=""),"",IFERROR(INDEX('Evaluation table'!$B$4:$F$8,MATCH(TRIM(SUBSTITUTE(J21,"’","'")),'Evaluation table'!$A$4:$A$8,0),MATCH(TRIM(SUBSTITUTE(K21,"’","'")),'Evaluation table'!$B$3:$F$3,0)),"?"))</f>
        <v/>
      </c>
      <c r="S21" s="11">
        <f>IF(OR(L21="",M21=""),"",IFERROR(INDEX('Evaluation table'!$B$4:$F$8,MATCH(TRIM(SUBSTITUTE(L21,"’","'")),'Evaluation table'!$A$4:$A$8,0),MATCH(TRIM(SUBSTITUTE(M21,"’","'")),'Evaluation table'!$B$3:$F$3,0)),"?"))</f>
        <v/>
      </c>
    </row>
    <row r="22">
      <c r="A22" s="2" t="n">
        <v>4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>
        <f>IF(OR(B22="",C22=""),"",IFERROR(INDEX('Evaluation table'!$B$4:$F$8,MATCH(TRIM(SUBSTITUTE(B22,"’","'")),'Evaluation table'!$A$4:$A$8,0),MATCH(TRIM(SUBSTITUTE(C22,"’","'")),'Evaluation table'!$B$3:$F$3,0)),"?"))</f>
        <v/>
      </c>
      <c r="O22" s="11">
        <f>IF(OR(D22="",E22=""),"",IFERROR(INDEX('Evaluation table'!$B$4:$F$8,MATCH(TRIM(SUBSTITUTE(D22,"’","'")),'Evaluation table'!$A$4:$A$8,0),MATCH(TRIM(SUBSTITUTE(E22,"’","'")),'Evaluation table'!$B$3:$F$3,0)),"?"))</f>
        <v/>
      </c>
      <c r="P22" s="11">
        <f>IF(OR(F22="",G22=""),"",IFERROR(INDEX('Evaluation table'!$B$4:$F$8,MATCH(TRIM(SUBSTITUTE(F22,"’","'")),'Evaluation table'!$A$4:$A$8,0),MATCH(TRIM(SUBSTITUTE(G22,"’","'")),'Evaluation table'!$B$3:$F$3,0)),"?"))</f>
        <v/>
      </c>
      <c r="Q22" s="11">
        <f>IF(OR(H22="",I22=""),"",IFERROR(INDEX('Evaluation table'!$B$4:$F$8,MATCH(TRIM(SUBSTITUTE(H22,"’","'")),'Evaluation table'!$A$4:$A$8,0),MATCH(TRIM(SUBSTITUTE(I22,"’","'")),'Evaluation table'!$B$3:$F$3,0)),"?"))</f>
        <v/>
      </c>
      <c r="R22" s="11">
        <f>IF(OR(J22="",K22=""),"",IFERROR(INDEX('Evaluation table'!$B$4:$F$8,MATCH(TRIM(SUBSTITUTE(J22,"’","'")),'Evaluation table'!$A$4:$A$8,0),MATCH(TRIM(SUBSTITUTE(K22,"’","'")),'Evaluation table'!$B$3:$F$3,0)),"?"))</f>
        <v/>
      </c>
      <c r="S22" s="11">
        <f>IF(OR(L22="",M22=""),"",IFERROR(INDEX('Evaluation table'!$B$4:$F$8,MATCH(TRIM(SUBSTITUTE(L22,"’","'")),'Evaluation table'!$A$4:$A$8,0),MATCH(TRIM(SUBSTITUTE(M22,"’","'")),'Evaluation table'!$B$3:$F$3,0)),"?"))</f>
        <v/>
      </c>
    </row>
    <row r="23">
      <c r="A23" s="2" t="n">
        <v>5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>
        <f>IF(OR(B23="",C23=""),"",IFERROR(INDEX('Evaluation table'!$B$4:$F$8,MATCH(TRIM(SUBSTITUTE(B23,"’","'")),'Evaluation table'!$A$4:$A$8,0),MATCH(TRIM(SUBSTITUTE(C23,"’","'")),'Evaluation table'!$B$3:$F$3,0)),"?"))</f>
        <v/>
      </c>
      <c r="O23" s="11">
        <f>IF(OR(D23="",E23=""),"",IFERROR(INDEX('Evaluation table'!$B$4:$F$8,MATCH(TRIM(SUBSTITUTE(D23,"’","'")),'Evaluation table'!$A$4:$A$8,0),MATCH(TRIM(SUBSTITUTE(E23,"’","'")),'Evaluation table'!$B$3:$F$3,0)),"?"))</f>
        <v/>
      </c>
      <c r="P23" s="11">
        <f>IF(OR(F23="",G23=""),"",IFERROR(INDEX('Evaluation table'!$B$4:$F$8,MATCH(TRIM(SUBSTITUTE(F23,"’","'")),'Evaluation table'!$A$4:$A$8,0),MATCH(TRIM(SUBSTITUTE(G23,"’","'")),'Evaluation table'!$B$3:$F$3,0)),"?"))</f>
        <v/>
      </c>
      <c r="Q23" s="11">
        <f>IF(OR(H23="",I23=""),"",IFERROR(INDEX('Evaluation table'!$B$4:$F$8,MATCH(TRIM(SUBSTITUTE(H23,"’","'")),'Evaluation table'!$A$4:$A$8,0),MATCH(TRIM(SUBSTITUTE(I23,"’","'")),'Evaluation table'!$B$3:$F$3,0)),"?"))</f>
        <v/>
      </c>
      <c r="R23" s="11">
        <f>IF(OR(J23="",K23=""),"",IFERROR(INDEX('Evaluation table'!$B$4:$F$8,MATCH(TRIM(SUBSTITUTE(J23,"’","'")),'Evaluation table'!$A$4:$A$8,0),MATCH(TRIM(SUBSTITUTE(K23,"’","'")),'Evaluation table'!$B$3:$F$3,0)),"?"))</f>
        <v/>
      </c>
      <c r="S23" s="11">
        <f>IF(OR(L23="",M23=""),"",IFERROR(INDEX('Evaluation table'!$B$4:$F$8,MATCH(TRIM(SUBSTITUTE(L23,"’","'")),'Evaluation table'!$A$4:$A$8,0),MATCH(TRIM(SUBSTITUTE(M23,"’","'")),'Evaluation table'!$B$3:$F$3,0)),"?"))</f>
        <v/>
      </c>
    </row>
    <row r="24">
      <c r="A24" s="2" t="n">
        <v>6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>
        <f>IF(OR(B24="",C24=""),"",IFERROR(INDEX('Evaluation table'!$B$4:$F$8,MATCH(TRIM(SUBSTITUTE(B24,"’","'")),'Evaluation table'!$A$4:$A$8,0),MATCH(TRIM(SUBSTITUTE(C24,"’","'")),'Evaluation table'!$B$3:$F$3,0)),"?"))</f>
        <v/>
      </c>
      <c r="O24" s="11">
        <f>IF(OR(D24="",E24=""),"",IFERROR(INDEX('Evaluation table'!$B$4:$F$8,MATCH(TRIM(SUBSTITUTE(D24,"’","'")),'Evaluation table'!$A$4:$A$8,0),MATCH(TRIM(SUBSTITUTE(E24,"’","'")),'Evaluation table'!$B$3:$F$3,0)),"?"))</f>
        <v/>
      </c>
      <c r="P24" s="11">
        <f>IF(OR(F24="",G24=""),"",IFERROR(INDEX('Evaluation table'!$B$4:$F$8,MATCH(TRIM(SUBSTITUTE(F24,"’","'")),'Evaluation table'!$A$4:$A$8,0),MATCH(TRIM(SUBSTITUTE(G24,"’","'")),'Evaluation table'!$B$3:$F$3,0)),"?"))</f>
        <v/>
      </c>
      <c r="Q24" s="11">
        <f>IF(OR(H24="",I24=""),"",IFERROR(INDEX('Evaluation table'!$B$4:$F$8,MATCH(TRIM(SUBSTITUTE(H24,"’","'")),'Evaluation table'!$A$4:$A$8,0),MATCH(TRIM(SUBSTITUTE(I24,"’","'")),'Evaluation table'!$B$3:$F$3,0)),"?"))</f>
        <v/>
      </c>
      <c r="R24" s="11">
        <f>IF(OR(J24="",K24=""),"",IFERROR(INDEX('Evaluation table'!$B$4:$F$8,MATCH(TRIM(SUBSTITUTE(J24,"’","'")),'Evaluation table'!$A$4:$A$8,0),MATCH(TRIM(SUBSTITUTE(K24,"’","'")),'Evaluation table'!$B$3:$F$3,0)),"?"))</f>
        <v/>
      </c>
      <c r="S24" s="11">
        <f>IF(OR(L24="",M24=""),"",IFERROR(INDEX('Evaluation table'!$B$4:$F$8,MATCH(TRIM(SUBSTITUTE(L24,"’","'")),'Evaluation table'!$A$4:$A$8,0),MATCH(TRIM(SUBSTITUTE(M24,"’","'")),'Evaluation table'!$B$3:$F$3,0)),"?"))</f>
        <v/>
      </c>
    </row>
    <row r="25">
      <c r="A25" s="2" t="n">
        <v>7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>
        <f>IF(OR(B25="",C25=""),"",IFERROR(INDEX('Evaluation table'!$B$4:$F$8,MATCH(TRIM(SUBSTITUTE(B25,"’","'")),'Evaluation table'!$A$4:$A$8,0),MATCH(TRIM(SUBSTITUTE(C25,"’","'")),'Evaluation table'!$B$3:$F$3,0)),"?"))</f>
        <v/>
      </c>
      <c r="O25" s="11">
        <f>IF(OR(D25="",E25=""),"",IFERROR(INDEX('Evaluation table'!$B$4:$F$8,MATCH(TRIM(SUBSTITUTE(D25,"’","'")),'Evaluation table'!$A$4:$A$8,0),MATCH(TRIM(SUBSTITUTE(E25,"’","'")),'Evaluation table'!$B$3:$F$3,0)),"?"))</f>
        <v/>
      </c>
      <c r="P25" s="11">
        <f>IF(OR(F25="",G25=""),"",IFERROR(INDEX('Evaluation table'!$B$4:$F$8,MATCH(TRIM(SUBSTITUTE(F25,"’","'")),'Evaluation table'!$A$4:$A$8,0),MATCH(TRIM(SUBSTITUTE(G25,"’","'")),'Evaluation table'!$B$3:$F$3,0)),"?"))</f>
        <v/>
      </c>
      <c r="Q25" s="11">
        <f>IF(OR(H25="",I25=""),"",IFERROR(INDEX('Evaluation table'!$B$4:$F$8,MATCH(TRIM(SUBSTITUTE(H25,"’","'")),'Evaluation table'!$A$4:$A$8,0),MATCH(TRIM(SUBSTITUTE(I25,"’","'")),'Evaluation table'!$B$3:$F$3,0)),"?"))</f>
        <v/>
      </c>
      <c r="R25" s="11">
        <f>IF(OR(J25="",K25=""),"",IFERROR(INDEX('Evaluation table'!$B$4:$F$8,MATCH(TRIM(SUBSTITUTE(J25,"’","'")),'Evaluation table'!$A$4:$A$8,0),MATCH(TRIM(SUBSTITUTE(K25,"’","'")),'Evaluation table'!$B$3:$F$3,0)),"?"))</f>
        <v/>
      </c>
      <c r="S25" s="11">
        <f>IF(OR(L25="",M25=""),"",IFERROR(INDEX('Evaluation table'!$B$4:$F$8,MATCH(TRIM(SUBSTITUTE(L25,"’","'")),'Evaluation table'!$A$4:$A$8,0),MATCH(TRIM(SUBSTITUTE(M25,"’","'")),'Evaluation table'!$B$3:$F$3,0)),"?"))</f>
        <v/>
      </c>
    </row>
    <row r="26">
      <c r="A26" s="2" t="n">
        <v>8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>
        <f>IF(OR(B26="",C26=""),"",IFERROR(INDEX('Evaluation table'!$B$4:$F$8,MATCH(TRIM(SUBSTITUTE(B26,"’","'")),'Evaluation table'!$A$4:$A$8,0),MATCH(TRIM(SUBSTITUTE(C26,"’","'")),'Evaluation table'!$B$3:$F$3,0)),"?"))</f>
        <v/>
      </c>
      <c r="O26" s="11">
        <f>IF(OR(D26="",E26=""),"",IFERROR(INDEX('Evaluation table'!$B$4:$F$8,MATCH(TRIM(SUBSTITUTE(D26,"’","'")),'Evaluation table'!$A$4:$A$8,0),MATCH(TRIM(SUBSTITUTE(E26,"’","'")),'Evaluation table'!$B$3:$F$3,0)),"?"))</f>
        <v/>
      </c>
      <c r="P26" s="11">
        <f>IF(OR(F26="",G26=""),"",IFERROR(INDEX('Evaluation table'!$B$4:$F$8,MATCH(TRIM(SUBSTITUTE(F26,"’","'")),'Evaluation table'!$A$4:$A$8,0),MATCH(TRIM(SUBSTITUTE(G26,"’","'")),'Evaluation table'!$B$3:$F$3,0)),"?"))</f>
        <v/>
      </c>
      <c r="Q26" s="11">
        <f>IF(OR(H26="",I26=""),"",IFERROR(INDEX('Evaluation table'!$B$4:$F$8,MATCH(TRIM(SUBSTITUTE(H26,"’","'")),'Evaluation table'!$A$4:$A$8,0),MATCH(TRIM(SUBSTITUTE(I26,"’","'")),'Evaluation table'!$B$3:$F$3,0)),"?"))</f>
        <v/>
      </c>
      <c r="R26" s="11">
        <f>IF(OR(J26="",K26=""),"",IFERROR(INDEX('Evaluation table'!$B$4:$F$8,MATCH(TRIM(SUBSTITUTE(J26,"’","'")),'Evaluation table'!$A$4:$A$8,0),MATCH(TRIM(SUBSTITUTE(K26,"’","'")),'Evaluation table'!$B$3:$F$3,0)),"?"))</f>
        <v/>
      </c>
      <c r="S26" s="11">
        <f>IF(OR(L26="",M26=""),"",IFERROR(INDEX('Evaluation table'!$B$4:$F$8,MATCH(TRIM(SUBSTITUTE(L26,"’","'")),'Evaluation table'!$A$4:$A$8,0),MATCH(TRIM(SUBSTITUTE(M26,"’","'")),'Evaluation table'!$B$3:$F$3,0)),"?"))</f>
        <v/>
      </c>
    </row>
    <row r="27">
      <c r="A27" s="2" t="n">
        <v>9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>
        <f>IF(OR(B27="",C27=""),"",IFERROR(INDEX('Evaluation table'!$B$4:$F$8,MATCH(TRIM(SUBSTITUTE(B27,"’","'")),'Evaluation table'!$A$4:$A$8,0),MATCH(TRIM(SUBSTITUTE(C27,"’","'")),'Evaluation table'!$B$3:$F$3,0)),"?"))</f>
        <v/>
      </c>
      <c r="O27" s="11">
        <f>IF(OR(D27="",E27=""),"",IFERROR(INDEX('Evaluation table'!$B$4:$F$8,MATCH(TRIM(SUBSTITUTE(D27,"’","'")),'Evaluation table'!$A$4:$A$8,0),MATCH(TRIM(SUBSTITUTE(E27,"’","'")),'Evaluation table'!$B$3:$F$3,0)),"?"))</f>
        <v/>
      </c>
      <c r="P27" s="11">
        <f>IF(OR(F27="",G27=""),"",IFERROR(INDEX('Evaluation table'!$B$4:$F$8,MATCH(TRIM(SUBSTITUTE(F27,"’","'")),'Evaluation table'!$A$4:$A$8,0),MATCH(TRIM(SUBSTITUTE(G27,"’","'")),'Evaluation table'!$B$3:$F$3,0)),"?"))</f>
        <v/>
      </c>
      <c r="Q27" s="11">
        <f>IF(OR(H27="",I27=""),"",IFERROR(INDEX('Evaluation table'!$B$4:$F$8,MATCH(TRIM(SUBSTITUTE(H27,"’","'")),'Evaluation table'!$A$4:$A$8,0),MATCH(TRIM(SUBSTITUTE(I27,"’","'")),'Evaluation table'!$B$3:$F$3,0)),"?"))</f>
        <v/>
      </c>
      <c r="R27" s="11">
        <f>IF(OR(J27="",K27=""),"",IFERROR(INDEX('Evaluation table'!$B$4:$F$8,MATCH(TRIM(SUBSTITUTE(J27,"’","'")),'Evaluation table'!$A$4:$A$8,0),MATCH(TRIM(SUBSTITUTE(K27,"’","'")),'Evaluation table'!$B$3:$F$3,0)),"?"))</f>
        <v/>
      </c>
      <c r="S27" s="11">
        <f>IF(OR(L27="",M27=""),"",IFERROR(INDEX('Evaluation table'!$B$4:$F$8,MATCH(TRIM(SUBSTITUTE(L27,"’","'")),'Evaluation table'!$A$4:$A$8,0),MATCH(TRIM(SUBSTITUTE(M27,"’","'")),'Evaluation table'!$B$3:$F$3,0)),"?"))</f>
        <v/>
      </c>
    </row>
    <row r="28">
      <c r="A28" s="2" t="n">
        <v>10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1">
        <f>IF(OR(B28="",C28=""),"",IFERROR(INDEX('Evaluation table'!$B$4:$F$8,MATCH(TRIM(SUBSTITUTE(B28,"’","'")),'Evaluation table'!$A$4:$A$8,0),MATCH(TRIM(SUBSTITUTE(C28,"’","'")),'Evaluation table'!$B$3:$F$3,0)),"?"))</f>
        <v/>
      </c>
      <c r="O28" s="11">
        <f>IF(OR(D28="",E28=""),"",IFERROR(INDEX('Evaluation table'!$B$4:$F$8,MATCH(TRIM(SUBSTITUTE(D28,"’","'")),'Evaluation table'!$A$4:$A$8,0),MATCH(TRIM(SUBSTITUTE(E28,"’","'")),'Evaluation table'!$B$3:$F$3,0)),"?"))</f>
        <v/>
      </c>
      <c r="P28" s="11">
        <f>IF(OR(F28="",G28=""),"",IFERROR(INDEX('Evaluation table'!$B$4:$F$8,MATCH(TRIM(SUBSTITUTE(F28,"’","'")),'Evaluation table'!$A$4:$A$8,0),MATCH(TRIM(SUBSTITUTE(G28,"’","'")),'Evaluation table'!$B$3:$F$3,0)),"?"))</f>
        <v/>
      </c>
      <c r="Q28" s="11">
        <f>IF(OR(H28="",I28=""),"",IFERROR(INDEX('Evaluation table'!$B$4:$F$8,MATCH(TRIM(SUBSTITUTE(H28,"’","'")),'Evaluation table'!$A$4:$A$8,0),MATCH(TRIM(SUBSTITUTE(I28,"’","'")),'Evaluation table'!$B$3:$F$3,0)),"?"))</f>
        <v/>
      </c>
      <c r="R28" s="11">
        <f>IF(OR(J28="",K28=""),"",IFERROR(INDEX('Evaluation table'!$B$4:$F$8,MATCH(TRIM(SUBSTITUTE(J28,"’","'")),'Evaluation table'!$A$4:$A$8,0),MATCH(TRIM(SUBSTITUTE(K28,"’","'")),'Evaluation table'!$B$3:$F$3,0)),"?"))</f>
        <v/>
      </c>
      <c r="S28" s="11">
        <f>IF(OR(L28="",M28=""),"",IFERROR(INDEX('Evaluation table'!$B$4:$F$8,MATCH(TRIM(SUBSTITUTE(L28,"’","'")),'Evaluation table'!$A$4:$A$8,0),MATCH(TRIM(SUBSTITUTE(M28,"’","'")),'Evaluation table'!$B$3:$F$3,0)),"?"))</f>
        <v/>
      </c>
    </row>
    <row r="29">
      <c r="A29" s="2" t="n">
        <v>11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1">
        <f>IF(OR(B29="",C29=""),"",IFERROR(INDEX('Evaluation table'!$B$4:$F$8,MATCH(TRIM(SUBSTITUTE(B29,"’","'")),'Evaluation table'!$A$4:$A$8,0),MATCH(TRIM(SUBSTITUTE(C29,"’","'")),'Evaluation table'!$B$3:$F$3,0)),"?"))</f>
        <v/>
      </c>
      <c r="O29" s="11">
        <f>IF(OR(D29="",E29=""),"",IFERROR(INDEX('Evaluation table'!$B$4:$F$8,MATCH(TRIM(SUBSTITUTE(D29,"’","'")),'Evaluation table'!$A$4:$A$8,0),MATCH(TRIM(SUBSTITUTE(E29,"’","'")),'Evaluation table'!$B$3:$F$3,0)),"?"))</f>
        <v/>
      </c>
      <c r="P29" s="11">
        <f>IF(OR(F29="",G29=""),"",IFERROR(INDEX('Evaluation table'!$B$4:$F$8,MATCH(TRIM(SUBSTITUTE(F29,"’","'")),'Evaluation table'!$A$4:$A$8,0),MATCH(TRIM(SUBSTITUTE(G29,"’","'")),'Evaluation table'!$B$3:$F$3,0)),"?"))</f>
        <v/>
      </c>
      <c r="Q29" s="11">
        <f>IF(OR(H29="",I29=""),"",IFERROR(INDEX('Evaluation table'!$B$4:$F$8,MATCH(TRIM(SUBSTITUTE(H29,"’","'")),'Evaluation table'!$A$4:$A$8,0),MATCH(TRIM(SUBSTITUTE(I29,"’","'")),'Evaluation table'!$B$3:$F$3,0)),"?"))</f>
        <v/>
      </c>
      <c r="R29" s="11">
        <f>IF(OR(J29="",K29=""),"",IFERROR(INDEX('Evaluation table'!$B$4:$F$8,MATCH(TRIM(SUBSTITUTE(J29,"’","'")),'Evaluation table'!$A$4:$A$8,0),MATCH(TRIM(SUBSTITUTE(K29,"’","'")),'Evaluation table'!$B$3:$F$3,0)),"?"))</f>
        <v/>
      </c>
      <c r="S29" s="11">
        <f>IF(OR(L29="",M29=""),"",IFERROR(INDEX('Evaluation table'!$B$4:$F$8,MATCH(TRIM(SUBSTITUTE(L29,"’","'")),'Evaluation table'!$A$4:$A$8,0),MATCH(TRIM(SUBSTITUTE(M29,"’","'")),'Evaluation table'!$B$3:$F$3,0)),"?"))</f>
        <v/>
      </c>
    </row>
    <row r="30">
      <c r="A30" s="2" t="n">
        <v>12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1">
        <f>IF(OR(B30="",C30=""),"",IFERROR(INDEX('Evaluation table'!$B$4:$F$8,MATCH(TRIM(SUBSTITUTE(B30,"’","'")),'Evaluation table'!$A$4:$A$8,0),MATCH(TRIM(SUBSTITUTE(C30,"’","'")),'Evaluation table'!$B$3:$F$3,0)),"?"))</f>
        <v/>
      </c>
      <c r="O30" s="11">
        <f>IF(OR(D30="",E30=""),"",IFERROR(INDEX('Evaluation table'!$B$4:$F$8,MATCH(TRIM(SUBSTITUTE(D30,"’","'")),'Evaluation table'!$A$4:$A$8,0),MATCH(TRIM(SUBSTITUTE(E30,"’","'")),'Evaluation table'!$B$3:$F$3,0)),"?"))</f>
        <v/>
      </c>
      <c r="P30" s="11">
        <f>IF(OR(F30="",G30=""),"",IFERROR(INDEX('Evaluation table'!$B$4:$F$8,MATCH(TRIM(SUBSTITUTE(F30,"’","'")),'Evaluation table'!$A$4:$A$8,0),MATCH(TRIM(SUBSTITUTE(G30,"’","'")),'Evaluation table'!$B$3:$F$3,0)),"?"))</f>
        <v/>
      </c>
      <c r="Q30" s="11">
        <f>IF(OR(H30="",I30=""),"",IFERROR(INDEX('Evaluation table'!$B$4:$F$8,MATCH(TRIM(SUBSTITUTE(H30,"’","'")),'Evaluation table'!$A$4:$A$8,0),MATCH(TRIM(SUBSTITUTE(I30,"’","'")),'Evaluation table'!$B$3:$F$3,0)),"?"))</f>
        <v/>
      </c>
      <c r="R30" s="11">
        <f>IF(OR(J30="",K30=""),"",IFERROR(INDEX('Evaluation table'!$B$4:$F$8,MATCH(TRIM(SUBSTITUTE(J30,"’","'")),'Evaluation table'!$A$4:$A$8,0),MATCH(TRIM(SUBSTITUTE(K30,"’","'")),'Evaluation table'!$B$3:$F$3,0)),"?"))</f>
        <v/>
      </c>
      <c r="S30" s="11">
        <f>IF(OR(L30="",M30=""),"",IFERROR(INDEX('Evaluation table'!$B$4:$F$8,MATCH(TRIM(SUBSTITUTE(L30,"’","'")),'Evaluation table'!$A$4:$A$8,0),MATCH(TRIM(SUBSTITUTE(M30,"’","'")),'Evaluation table'!$B$3:$F$3,0)),"?"))</f>
        <v/>
      </c>
    </row>
    <row r="31">
      <c r="A31" s="2" t="n">
        <v>13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1">
        <f>IF(OR(B31="",C31=""),"",IFERROR(INDEX('Evaluation table'!$B$4:$F$8,MATCH(TRIM(SUBSTITUTE(B31,"’","'")),'Evaluation table'!$A$4:$A$8,0),MATCH(TRIM(SUBSTITUTE(C31,"’","'")),'Evaluation table'!$B$3:$F$3,0)),"?"))</f>
        <v/>
      </c>
      <c r="O31" s="11">
        <f>IF(OR(D31="",E31=""),"",IFERROR(INDEX('Evaluation table'!$B$4:$F$8,MATCH(TRIM(SUBSTITUTE(D31,"’","'")),'Evaluation table'!$A$4:$A$8,0),MATCH(TRIM(SUBSTITUTE(E31,"’","'")),'Evaluation table'!$B$3:$F$3,0)),"?"))</f>
        <v/>
      </c>
      <c r="P31" s="11">
        <f>IF(OR(F31="",G31=""),"",IFERROR(INDEX('Evaluation table'!$B$4:$F$8,MATCH(TRIM(SUBSTITUTE(F31,"’","'")),'Evaluation table'!$A$4:$A$8,0),MATCH(TRIM(SUBSTITUTE(G31,"’","'")),'Evaluation table'!$B$3:$F$3,0)),"?"))</f>
        <v/>
      </c>
      <c r="Q31" s="11">
        <f>IF(OR(H31="",I31=""),"",IFERROR(INDEX('Evaluation table'!$B$4:$F$8,MATCH(TRIM(SUBSTITUTE(H31,"’","'")),'Evaluation table'!$A$4:$A$8,0),MATCH(TRIM(SUBSTITUTE(I31,"’","'")),'Evaluation table'!$B$3:$F$3,0)),"?"))</f>
        <v/>
      </c>
      <c r="R31" s="11">
        <f>IF(OR(J31="",K31=""),"",IFERROR(INDEX('Evaluation table'!$B$4:$F$8,MATCH(TRIM(SUBSTITUTE(J31,"’","'")),'Evaluation table'!$A$4:$A$8,0),MATCH(TRIM(SUBSTITUTE(K31,"’","'")),'Evaluation table'!$B$3:$F$3,0)),"?"))</f>
        <v/>
      </c>
      <c r="S31" s="11">
        <f>IF(OR(L31="",M31=""),"",IFERROR(INDEX('Evaluation table'!$B$4:$F$8,MATCH(TRIM(SUBSTITUTE(L31,"’","'")),'Evaluation table'!$A$4:$A$8,0),MATCH(TRIM(SUBSTITUTE(M31,"’","'")),'Evaluation table'!$B$3:$F$3,0)),"?"))</f>
        <v/>
      </c>
    </row>
    <row r="32">
      <c r="A32" s="2" t="n">
        <v>14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1">
        <f>IF(OR(B32="",C32=""),"",IFERROR(INDEX('Evaluation table'!$B$4:$F$8,MATCH(TRIM(SUBSTITUTE(B32,"’","'")),'Evaluation table'!$A$4:$A$8,0),MATCH(TRIM(SUBSTITUTE(C32,"’","'")),'Evaluation table'!$B$3:$F$3,0)),"?"))</f>
        <v/>
      </c>
      <c r="O32" s="11">
        <f>IF(OR(D32="",E32=""),"",IFERROR(INDEX('Evaluation table'!$B$4:$F$8,MATCH(TRIM(SUBSTITUTE(D32,"’","'")),'Evaluation table'!$A$4:$A$8,0),MATCH(TRIM(SUBSTITUTE(E32,"’","'")),'Evaluation table'!$B$3:$F$3,0)),"?"))</f>
        <v/>
      </c>
      <c r="P32" s="11">
        <f>IF(OR(F32="",G32=""),"",IFERROR(INDEX('Evaluation table'!$B$4:$F$8,MATCH(TRIM(SUBSTITUTE(F32,"’","'")),'Evaluation table'!$A$4:$A$8,0),MATCH(TRIM(SUBSTITUTE(G32,"’","'")),'Evaluation table'!$B$3:$F$3,0)),"?"))</f>
        <v/>
      </c>
      <c r="Q32" s="11">
        <f>IF(OR(H32="",I32=""),"",IFERROR(INDEX('Evaluation table'!$B$4:$F$8,MATCH(TRIM(SUBSTITUTE(H32,"’","'")),'Evaluation table'!$A$4:$A$8,0),MATCH(TRIM(SUBSTITUTE(I32,"’","'")),'Evaluation table'!$B$3:$F$3,0)),"?"))</f>
        <v/>
      </c>
      <c r="R32" s="11">
        <f>IF(OR(J32="",K32=""),"",IFERROR(INDEX('Evaluation table'!$B$4:$F$8,MATCH(TRIM(SUBSTITUTE(J32,"’","'")),'Evaluation table'!$A$4:$A$8,0),MATCH(TRIM(SUBSTITUTE(K32,"’","'")),'Evaluation table'!$B$3:$F$3,0)),"?"))</f>
        <v/>
      </c>
      <c r="S32" s="11">
        <f>IF(OR(L32="",M32=""),"",IFERROR(INDEX('Evaluation table'!$B$4:$F$8,MATCH(TRIM(SUBSTITUTE(L32,"’","'")),'Evaluation table'!$A$4:$A$8,0),MATCH(TRIM(SUBSTITUTE(M32,"’","'")),'Evaluation table'!$B$3:$F$3,0)),"?"))</f>
        <v/>
      </c>
    </row>
    <row r="33">
      <c r="A33" s="2" t="n">
        <v>15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1">
        <f>IF(OR(B33="",C33=""),"",IFERROR(INDEX('Evaluation table'!$B$4:$F$8,MATCH(TRIM(SUBSTITUTE(B33,"’","'")),'Evaluation table'!$A$4:$A$8,0),MATCH(TRIM(SUBSTITUTE(C33,"’","'")),'Evaluation table'!$B$3:$F$3,0)),"?"))</f>
        <v/>
      </c>
      <c r="O33" s="11">
        <f>IF(OR(D33="",E33=""),"",IFERROR(INDEX('Evaluation table'!$B$4:$F$8,MATCH(TRIM(SUBSTITUTE(D33,"’","'")),'Evaluation table'!$A$4:$A$8,0),MATCH(TRIM(SUBSTITUTE(E33,"’","'")),'Evaluation table'!$B$3:$F$3,0)),"?"))</f>
        <v/>
      </c>
      <c r="P33" s="11">
        <f>IF(OR(F33="",G33=""),"",IFERROR(INDEX('Evaluation table'!$B$4:$F$8,MATCH(TRIM(SUBSTITUTE(F33,"’","'")),'Evaluation table'!$A$4:$A$8,0),MATCH(TRIM(SUBSTITUTE(G33,"’","'")),'Evaluation table'!$B$3:$F$3,0)),"?"))</f>
        <v/>
      </c>
      <c r="Q33" s="11">
        <f>IF(OR(H33="",I33=""),"",IFERROR(INDEX('Evaluation table'!$B$4:$F$8,MATCH(TRIM(SUBSTITUTE(H33,"’","'")),'Evaluation table'!$A$4:$A$8,0),MATCH(TRIM(SUBSTITUTE(I33,"’","'")),'Evaluation table'!$B$3:$F$3,0)),"?"))</f>
        <v/>
      </c>
      <c r="R33" s="11">
        <f>IF(OR(J33="",K33=""),"",IFERROR(INDEX('Evaluation table'!$B$4:$F$8,MATCH(TRIM(SUBSTITUTE(J33,"’","'")),'Evaluation table'!$A$4:$A$8,0),MATCH(TRIM(SUBSTITUTE(K33,"’","'")),'Evaluation table'!$B$3:$F$3,0)),"?"))</f>
        <v/>
      </c>
      <c r="S33" s="11">
        <f>IF(OR(L33="",M33=""),"",IFERROR(INDEX('Evaluation table'!$B$4:$F$8,MATCH(TRIM(SUBSTITUTE(L33,"’","'")),'Evaluation table'!$A$4:$A$8,0),MATCH(TRIM(SUBSTITUTE(M33,"’","'")),'Evaluation table'!$B$3:$F$3,0)),"?"))</f>
        <v/>
      </c>
    </row>
    <row r="34">
      <c r="A34" s="2" t="n">
        <v>16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1">
        <f>IF(OR(B34="",C34=""),"",IFERROR(INDEX('Evaluation table'!$B$4:$F$8,MATCH(TRIM(SUBSTITUTE(B34,"’","'")),'Evaluation table'!$A$4:$A$8,0),MATCH(TRIM(SUBSTITUTE(C34,"’","'")),'Evaluation table'!$B$3:$F$3,0)),"?"))</f>
        <v/>
      </c>
      <c r="O34" s="11">
        <f>IF(OR(D34="",E34=""),"",IFERROR(INDEX('Evaluation table'!$B$4:$F$8,MATCH(TRIM(SUBSTITUTE(D34,"’","'")),'Evaluation table'!$A$4:$A$8,0),MATCH(TRIM(SUBSTITUTE(E34,"’","'")),'Evaluation table'!$B$3:$F$3,0)),"?"))</f>
        <v/>
      </c>
      <c r="P34" s="11">
        <f>IF(OR(F34="",G34=""),"",IFERROR(INDEX('Evaluation table'!$B$4:$F$8,MATCH(TRIM(SUBSTITUTE(F34,"’","'")),'Evaluation table'!$A$4:$A$8,0),MATCH(TRIM(SUBSTITUTE(G34,"’","'")),'Evaluation table'!$B$3:$F$3,0)),"?"))</f>
        <v/>
      </c>
      <c r="Q34" s="11">
        <f>IF(OR(H34="",I34=""),"",IFERROR(INDEX('Evaluation table'!$B$4:$F$8,MATCH(TRIM(SUBSTITUTE(H34,"’","'")),'Evaluation table'!$A$4:$A$8,0),MATCH(TRIM(SUBSTITUTE(I34,"’","'")),'Evaluation table'!$B$3:$F$3,0)),"?"))</f>
        <v/>
      </c>
      <c r="R34" s="11">
        <f>IF(OR(J34="",K34=""),"",IFERROR(INDEX('Evaluation table'!$B$4:$F$8,MATCH(TRIM(SUBSTITUTE(J34,"’","'")),'Evaluation table'!$A$4:$A$8,0),MATCH(TRIM(SUBSTITUTE(K34,"’","'")),'Evaluation table'!$B$3:$F$3,0)),"?"))</f>
        <v/>
      </c>
      <c r="S34" s="11">
        <f>IF(OR(L34="",M34=""),"",IFERROR(INDEX('Evaluation table'!$B$4:$F$8,MATCH(TRIM(SUBSTITUTE(L34,"’","'")),'Evaluation table'!$A$4:$A$8,0),MATCH(TRIM(SUBSTITUTE(M34,"’","'")),'Evaluation table'!$B$3:$F$3,0)),"?"))</f>
        <v/>
      </c>
    </row>
    <row r="35">
      <c r="A35" s="2" t="n">
        <v>17</v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1">
        <f>IF(OR(B35="",C35=""),"",IFERROR(INDEX('Evaluation table'!$B$4:$F$8,MATCH(TRIM(SUBSTITUTE(B35,"’","'")),'Evaluation table'!$A$4:$A$8,0),MATCH(TRIM(SUBSTITUTE(C35,"’","'")),'Evaluation table'!$B$3:$F$3,0)),"?"))</f>
        <v/>
      </c>
      <c r="O35" s="11">
        <f>IF(OR(D35="",E35=""),"",IFERROR(INDEX('Evaluation table'!$B$4:$F$8,MATCH(TRIM(SUBSTITUTE(D35,"’","'")),'Evaluation table'!$A$4:$A$8,0),MATCH(TRIM(SUBSTITUTE(E35,"’","'")),'Evaluation table'!$B$3:$F$3,0)),"?"))</f>
        <v/>
      </c>
      <c r="P35" s="11">
        <f>IF(OR(F35="",G35=""),"",IFERROR(INDEX('Evaluation table'!$B$4:$F$8,MATCH(TRIM(SUBSTITUTE(F35,"’","'")),'Evaluation table'!$A$4:$A$8,0),MATCH(TRIM(SUBSTITUTE(G35,"’","'")),'Evaluation table'!$B$3:$F$3,0)),"?"))</f>
        <v/>
      </c>
      <c r="Q35" s="11">
        <f>IF(OR(H35="",I35=""),"",IFERROR(INDEX('Evaluation table'!$B$4:$F$8,MATCH(TRIM(SUBSTITUTE(H35,"’","'")),'Evaluation table'!$A$4:$A$8,0),MATCH(TRIM(SUBSTITUTE(I35,"’","'")),'Evaluation table'!$B$3:$F$3,0)),"?"))</f>
        <v/>
      </c>
      <c r="R35" s="11">
        <f>IF(OR(J35="",K35=""),"",IFERROR(INDEX('Evaluation table'!$B$4:$F$8,MATCH(TRIM(SUBSTITUTE(J35,"’","'")),'Evaluation table'!$A$4:$A$8,0),MATCH(TRIM(SUBSTITUTE(K35,"’","'")),'Evaluation table'!$B$3:$F$3,0)),"?"))</f>
        <v/>
      </c>
      <c r="S35" s="11">
        <f>IF(OR(L35="",M35=""),"",IFERROR(INDEX('Evaluation table'!$B$4:$F$8,MATCH(TRIM(SUBSTITUTE(L35,"’","'")),'Evaluation table'!$A$4:$A$8,0),MATCH(TRIM(SUBSTITUTE(M35,"’","'")),'Evaluation table'!$B$3:$F$3,0)),"?"))</f>
        <v/>
      </c>
    </row>
    <row r="36">
      <c r="A36" s="2" t="n">
        <v>18</v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1">
        <f>IF(OR(B36="",C36=""),"",IFERROR(INDEX('Evaluation table'!$B$4:$F$8,MATCH(TRIM(SUBSTITUTE(B36,"’","'")),'Evaluation table'!$A$4:$A$8,0),MATCH(TRIM(SUBSTITUTE(C36,"’","'")),'Evaluation table'!$B$3:$F$3,0)),"?"))</f>
        <v/>
      </c>
      <c r="O36" s="11">
        <f>IF(OR(D36="",E36=""),"",IFERROR(INDEX('Evaluation table'!$B$4:$F$8,MATCH(TRIM(SUBSTITUTE(D36,"’","'")),'Evaluation table'!$A$4:$A$8,0),MATCH(TRIM(SUBSTITUTE(E36,"’","'")),'Evaluation table'!$B$3:$F$3,0)),"?"))</f>
        <v/>
      </c>
      <c r="P36" s="11">
        <f>IF(OR(F36="",G36=""),"",IFERROR(INDEX('Evaluation table'!$B$4:$F$8,MATCH(TRIM(SUBSTITUTE(F36,"’","'")),'Evaluation table'!$A$4:$A$8,0),MATCH(TRIM(SUBSTITUTE(G36,"’","'")),'Evaluation table'!$B$3:$F$3,0)),"?"))</f>
        <v/>
      </c>
      <c r="Q36" s="11">
        <f>IF(OR(H36="",I36=""),"",IFERROR(INDEX('Evaluation table'!$B$4:$F$8,MATCH(TRIM(SUBSTITUTE(H36,"’","'")),'Evaluation table'!$A$4:$A$8,0),MATCH(TRIM(SUBSTITUTE(I36,"’","'")),'Evaluation table'!$B$3:$F$3,0)),"?"))</f>
        <v/>
      </c>
      <c r="R36" s="11">
        <f>IF(OR(J36="",K36=""),"",IFERROR(INDEX('Evaluation table'!$B$4:$F$8,MATCH(TRIM(SUBSTITUTE(J36,"’","'")),'Evaluation table'!$A$4:$A$8,0),MATCH(TRIM(SUBSTITUTE(K36,"’","'")),'Evaluation table'!$B$3:$F$3,0)),"?"))</f>
        <v/>
      </c>
      <c r="S36" s="11">
        <f>IF(OR(L36="",M36=""),"",IFERROR(INDEX('Evaluation table'!$B$4:$F$8,MATCH(TRIM(SUBSTITUTE(L36,"’","'")),'Evaluation table'!$A$4:$A$8,0),MATCH(TRIM(SUBSTITUTE(M36,"’","'")),'Evaluation table'!$B$3:$F$3,0)),"?"))</f>
        <v/>
      </c>
    </row>
    <row r="37">
      <c r="A37" s="2" t="n">
        <v>19</v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1">
        <f>IF(OR(B37="",C37=""),"",IFERROR(INDEX('Evaluation table'!$B$4:$F$8,MATCH(TRIM(SUBSTITUTE(B37,"’","'")),'Evaluation table'!$A$4:$A$8,0),MATCH(TRIM(SUBSTITUTE(C37,"’","'")),'Evaluation table'!$B$3:$F$3,0)),"?"))</f>
        <v/>
      </c>
      <c r="O37" s="11">
        <f>IF(OR(D37="",E37=""),"",IFERROR(INDEX('Evaluation table'!$B$4:$F$8,MATCH(TRIM(SUBSTITUTE(D37,"’","'")),'Evaluation table'!$A$4:$A$8,0),MATCH(TRIM(SUBSTITUTE(E37,"’","'")),'Evaluation table'!$B$3:$F$3,0)),"?"))</f>
        <v/>
      </c>
      <c r="P37" s="11">
        <f>IF(OR(F37="",G37=""),"",IFERROR(INDEX('Evaluation table'!$B$4:$F$8,MATCH(TRIM(SUBSTITUTE(F37,"’","'")),'Evaluation table'!$A$4:$A$8,0),MATCH(TRIM(SUBSTITUTE(G37,"’","'")),'Evaluation table'!$B$3:$F$3,0)),"?"))</f>
        <v/>
      </c>
      <c r="Q37" s="11">
        <f>IF(OR(H37="",I37=""),"",IFERROR(INDEX('Evaluation table'!$B$4:$F$8,MATCH(TRIM(SUBSTITUTE(H37,"’","'")),'Evaluation table'!$A$4:$A$8,0),MATCH(TRIM(SUBSTITUTE(I37,"’","'")),'Evaluation table'!$B$3:$F$3,0)),"?"))</f>
        <v/>
      </c>
      <c r="R37" s="11">
        <f>IF(OR(J37="",K37=""),"",IFERROR(INDEX('Evaluation table'!$B$4:$F$8,MATCH(TRIM(SUBSTITUTE(J37,"’","'")),'Evaluation table'!$A$4:$A$8,0),MATCH(TRIM(SUBSTITUTE(K37,"’","'")),'Evaluation table'!$B$3:$F$3,0)),"?"))</f>
        <v/>
      </c>
      <c r="S37" s="11">
        <f>IF(OR(L37="",M37=""),"",IFERROR(INDEX('Evaluation table'!$B$4:$F$8,MATCH(TRIM(SUBSTITUTE(L37,"’","'")),'Evaluation table'!$A$4:$A$8,0),MATCH(TRIM(SUBSTITUTE(M37,"’","'")),'Evaluation table'!$B$3:$F$3,0)),"?"))</f>
        <v/>
      </c>
    </row>
    <row r="38">
      <c r="A38" s="2" t="n">
        <v>20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1">
        <f>IF(OR(B38="",C38=""),"",IFERROR(INDEX('Evaluation table'!$B$4:$F$8,MATCH(TRIM(SUBSTITUTE(B38,"’","'")),'Evaluation table'!$A$4:$A$8,0),MATCH(TRIM(SUBSTITUTE(C38,"’","'")),'Evaluation table'!$B$3:$F$3,0)),"?"))</f>
        <v/>
      </c>
      <c r="O38" s="11">
        <f>IF(OR(D38="",E38=""),"",IFERROR(INDEX('Evaluation table'!$B$4:$F$8,MATCH(TRIM(SUBSTITUTE(D38,"’","'")),'Evaluation table'!$A$4:$A$8,0),MATCH(TRIM(SUBSTITUTE(E38,"’","'")),'Evaluation table'!$B$3:$F$3,0)),"?"))</f>
        <v/>
      </c>
      <c r="P38" s="11">
        <f>IF(OR(F38="",G38=""),"",IFERROR(INDEX('Evaluation table'!$B$4:$F$8,MATCH(TRIM(SUBSTITUTE(F38,"’","'")),'Evaluation table'!$A$4:$A$8,0),MATCH(TRIM(SUBSTITUTE(G38,"’","'")),'Evaluation table'!$B$3:$F$3,0)),"?"))</f>
        <v/>
      </c>
      <c r="Q38" s="11">
        <f>IF(OR(H38="",I38=""),"",IFERROR(INDEX('Evaluation table'!$B$4:$F$8,MATCH(TRIM(SUBSTITUTE(H38,"’","'")),'Evaluation table'!$A$4:$A$8,0),MATCH(TRIM(SUBSTITUTE(I38,"’","'")),'Evaluation table'!$B$3:$F$3,0)),"?"))</f>
        <v/>
      </c>
      <c r="R38" s="11">
        <f>IF(OR(J38="",K38=""),"",IFERROR(INDEX('Evaluation table'!$B$4:$F$8,MATCH(TRIM(SUBSTITUTE(J38,"’","'")),'Evaluation table'!$A$4:$A$8,0),MATCH(TRIM(SUBSTITUTE(K38,"’","'")),'Evaluation table'!$B$3:$F$3,0)),"?"))</f>
        <v/>
      </c>
      <c r="S38" s="11">
        <f>IF(OR(L38="",M38=""),"",IFERROR(INDEX('Evaluation table'!$B$4:$F$8,MATCH(TRIM(SUBSTITUTE(L38,"’","'")),'Evaluation table'!$A$4:$A$8,0),MATCH(TRIM(SUBSTITUTE(M38,"’","'")),'Evaluation table'!$B$3:$F$3,0)),"?"))</f>
        <v/>
      </c>
    </row>
    <row r="39">
      <c r="A39" s="2" t="n">
        <v>21</v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>
        <f>IF(OR(B39="",C39=""),"",IFERROR(INDEX('Evaluation table'!$B$4:$F$8,MATCH(TRIM(SUBSTITUTE(B39,"’","'")),'Evaluation table'!$A$4:$A$8,0),MATCH(TRIM(SUBSTITUTE(C39,"’","'")),'Evaluation table'!$B$3:$F$3,0)),"?"))</f>
        <v/>
      </c>
      <c r="O39" s="11">
        <f>IF(OR(D39="",E39=""),"",IFERROR(INDEX('Evaluation table'!$B$4:$F$8,MATCH(TRIM(SUBSTITUTE(D39,"’","'")),'Evaluation table'!$A$4:$A$8,0),MATCH(TRIM(SUBSTITUTE(E39,"’","'")),'Evaluation table'!$B$3:$F$3,0)),"?"))</f>
        <v/>
      </c>
      <c r="P39" s="11">
        <f>IF(OR(F39="",G39=""),"",IFERROR(INDEX('Evaluation table'!$B$4:$F$8,MATCH(TRIM(SUBSTITUTE(F39,"’","'")),'Evaluation table'!$A$4:$A$8,0),MATCH(TRIM(SUBSTITUTE(G39,"’","'")),'Evaluation table'!$B$3:$F$3,0)),"?"))</f>
        <v/>
      </c>
      <c r="Q39" s="11">
        <f>IF(OR(H39="",I39=""),"",IFERROR(INDEX('Evaluation table'!$B$4:$F$8,MATCH(TRIM(SUBSTITUTE(H39,"’","'")),'Evaluation table'!$A$4:$A$8,0),MATCH(TRIM(SUBSTITUTE(I39,"’","'")),'Evaluation table'!$B$3:$F$3,0)),"?"))</f>
        <v/>
      </c>
      <c r="R39" s="11">
        <f>IF(OR(J39="",K39=""),"",IFERROR(INDEX('Evaluation table'!$B$4:$F$8,MATCH(TRIM(SUBSTITUTE(J39,"’","'")),'Evaluation table'!$A$4:$A$8,0),MATCH(TRIM(SUBSTITUTE(K39,"’","'")),'Evaluation table'!$B$3:$F$3,0)),"?"))</f>
        <v/>
      </c>
      <c r="S39" s="11">
        <f>IF(OR(L39="",M39=""),"",IFERROR(INDEX('Evaluation table'!$B$4:$F$8,MATCH(TRIM(SUBSTITUTE(L39,"’","'")),'Evaluation table'!$A$4:$A$8,0),MATCH(TRIM(SUBSTITUTE(M39,"’","'")),'Evaluation table'!$B$3:$F$3,0)),"?"))</f>
        <v/>
      </c>
    </row>
    <row r="40">
      <c r="A40" s="2" t="n">
        <v>22</v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1">
        <f>IF(OR(B40="",C40=""),"",IFERROR(INDEX('Evaluation table'!$B$4:$F$8,MATCH(TRIM(SUBSTITUTE(B40,"’","'")),'Evaluation table'!$A$4:$A$8,0),MATCH(TRIM(SUBSTITUTE(C40,"’","'")),'Evaluation table'!$B$3:$F$3,0)),"?"))</f>
        <v/>
      </c>
      <c r="O40" s="11">
        <f>IF(OR(D40="",E40=""),"",IFERROR(INDEX('Evaluation table'!$B$4:$F$8,MATCH(TRIM(SUBSTITUTE(D40,"’","'")),'Evaluation table'!$A$4:$A$8,0),MATCH(TRIM(SUBSTITUTE(E40,"’","'")),'Evaluation table'!$B$3:$F$3,0)),"?"))</f>
        <v/>
      </c>
      <c r="P40" s="11">
        <f>IF(OR(F40="",G40=""),"",IFERROR(INDEX('Evaluation table'!$B$4:$F$8,MATCH(TRIM(SUBSTITUTE(F40,"’","'")),'Evaluation table'!$A$4:$A$8,0),MATCH(TRIM(SUBSTITUTE(G40,"’","'")),'Evaluation table'!$B$3:$F$3,0)),"?"))</f>
        <v/>
      </c>
      <c r="Q40" s="11">
        <f>IF(OR(H40="",I40=""),"",IFERROR(INDEX('Evaluation table'!$B$4:$F$8,MATCH(TRIM(SUBSTITUTE(H40,"’","'")),'Evaluation table'!$A$4:$A$8,0),MATCH(TRIM(SUBSTITUTE(I40,"’","'")),'Evaluation table'!$B$3:$F$3,0)),"?"))</f>
        <v/>
      </c>
      <c r="R40" s="11">
        <f>IF(OR(J40="",K40=""),"",IFERROR(INDEX('Evaluation table'!$B$4:$F$8,MATCH(TRIM(SUBSTITUTE(J40,"’","'")),'Evaluation table'!$A$4:$A$8,0),MATCH(TRIM(SUBSTITUTE(K40,"’","'")),'Evaluation table'!$B$3:$F$3,0)),"?"))</f>
        <v/>
      </c>
      <c r="S40" s="11">
        <f>IF(OR(L40="",M40=""),"",IFERROR(INDEX('Evaluation table'!$B$4:$F$8,MATCH(TRIM(SUBSTITUTE(L40,"’","'")),'Evaluation table'!$A$4:$A$8,0),MATCH(TRIM(SUBSTITUTE(M40,"’","'")),'Evaluation table'!$B$3:$F$3,0)),"?"))</f>
        <v/>
      </c>
    </row>
    <row r="41">
      <c r="A41" s="2" t="n">
        <v>23</v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1">
        <f>IF(OR(B41="",C41=""),"",IFERROR(INDEX('Evaluation table'!$B$4:$F$8,MATCH(TRIM(SUBSTITUTE(B41,"’","'")),'Evaluation table'!$A$4:$A$8,0),MATCH(TRIM(SUBSTITUTE(C41,"’","'")),'Evaluation table'!$B$3:$F$3,0)),"?"))</f>
        <v/>
      </c>
      <c r="O41" s="11">
        <f>IF(OR(D41="",E41=""),"",IFERROR(INDEX('Evaluation table'!$B$4:$F$8,MATCH(TRIM(SUBSTITUTE(D41,"’","'")),'Evaluation table'!$A$4:$A$8,0),MATCH(TRIM(SUBSTITUTE(E41,"’","'")),'Evaluation table'!$B$3:$F$3,0)),"?"))</f>
        <v/>
      </c>
      <c r="P41" s="11">
        <f>IF(OR(F41="",G41=""),"",IFERROR(INDEX('Evaluation table'!$B$4:$F$8,MATCH(TRIM(SUBSTITUTE(F41,"’","'")),'Evaluation table'!$A$4:$A$8,0),MATCH(TRIM(SUBSTITUTE(G41,"’","'")),'Evaluation table'!$B$3:$F$3,0)),"?"))</f>
        <v/>
      </c>
      <c r="Q41" s="11">
        <f>IF(OR(H41="",I41=""),"",IFERROR(INDEX('Evaluation table'!$B$4:$F$8,MATCH(TRIM(SUBSTITUTE(H41,"’","'")),'Evaluation table'!$A$4:$A$8,0),MATCH(TRIM(SUBSTITUTE(I41,"’","'")),'Evaluation table'!$B$3:$F$3,0)),"?"))</f>
        <v/>
      </c>
      <c r="R41" s="11">
        <f>IF(OR(J41="",K41=""),"",IFERROR(INDEX('Evaluation table'!$B$4:$F$8,MATCH(TRIM(SUBSTITUTE(J41,"’","'")),'Evaluation table'!$A$4:$A$8,0),MATCH(TRIM(SUBSTITUTE(K41,"’","'")),'Evaluation table'!$B$3:$F$3,0)),"?"))</f>
        <v/>
      </c>
      <c r="S41" s="11">
        <f>IF(OR(L41="",M41=""),"",IFERROR(INDEX('Evaluation table'!$B$4:$F$8,MATCH(TRIM(SUBSTITUTE(L41,"’","'")),'Evaluation table'!$A$4:$A$8,0),MATCH(TRIM(SUBSTITUTE(M41,"’","'")),'Evaluation table'!$B$3:$F$3,0)),"?"))</f>
        <v/>
      </c>
    </row>
    <row r="42">
      <c r="A42" s="2" t="n">
        <v>24</v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1">
        <f>IF(OR(B42="",C42=""),"",IFERROR(INDEX('Evaluation table'!$B$4:$F$8,MATCH(TRIM(SUBSTITUTE(B42,"’","'")),'Evaluation table'!$A$4:$A$8,0),MATCH(TRIM(SUBSTITUTE(C42,"’","'")),'Evaluation table'!$B$3:$F$3,0)),"?"))</f>
        <v/>
      </c>
      <c r="O42" s="11">
        <f>IF(OR(D42="",E42=""),"",IFERROR(INDEX('Evaluation table'!$B$4:$F$8,MATCH(TRIM(SUBSTITUTE(D42,"’","'")),'Evaluation table'!$A$4:$A$8,0),MATCH(TRIM(SUBSTITUTE(E42,"’","'")),'Evaluation table'!$B$3:$F$3,0)),"?"))</f>
        <v/>
      </c>
      <c r="P42" s="11">
        <f>IF(OR(F42="",G42=""),"",IFERROR(INDEX('Evaluation table'!$B$4:$F$8,MATCH(TRIM(SUBSTITUTE(F42,"’","'")),'Evaluation table'!$A$4:$A$8,0),MATCH(TRIM(SUBSTITUTE(G42,"’","'")),'Evaluation table'!$B$3:$F$3,0)),"?"))</f>
        <v/>
      </c>
      <c r="Q42" s="11">
        <f>IF(OR(H42="",I42=""),"",IFERROR(INDEX('Evaluation table'!$B$4:$F$8,MATCH(TRIM(SUBSTITUTE(H42,"’","'")),'Evaluation table'!$A$4:$A$8,0),MATCH(TRIM(SUBSTITUTE(I42,"’","'")),'Evaluation table'!$B$3:$F$3,0)),"?"))</f>
        <v/>
      </c>
      <c r="R42" s="11">
        <f>IF(OR(J42="",K42=""),"",IFERROR(INDEX('Evaluation table'!$B$4:$F$8,MATCH(TRIM(SUBSTITUTE(J42,"’","'")),'Evaluation table'!$A$4:$A$8,0),MATCH(TRIM(SUBSTITUTE(K42,"’","'")),'Evaluation table'!$B$3:$F$3,0)),"?"))</f>
        <v/>
      </c>
      <c r="S42" s="11">
        <f>IF(OR(L42="",M42=""),"",IFERROR(INDEX('Evaluation table'!$B$4:$F$8,MATCH(TRIM(SUBSTITUTE(L42,"’","'")),'Evaluation table'!$A$4:$A$8,0),MATCH(TRIM(SUBSTITUTE(M42,"’","'")),'Evaluation table'!$B$3:$F$3,0)),"?"))</f>
        <v/>
      </c>
    </row>
    <row r="43">
      <c r="A43" s="2" t="n">
        <v>25</v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1">
        <f>IF(OR(B43="",C43=""),"",IFERROR(INDEX('Evaluation table'!$B$4:$F$8,MATCH(TRIM(SUBSTITUTE(B43,"’","'")),'Evaluation table'!$A$4:$A$8,0),MATCH(TRIM(SUBSTITUTE(C43,"’","'")),'Evaluation table'!$B$3:$F$3,0)),"?"))</f>
        <v/>
      </c>
      <c r="O43" s="11">
        <f>IF(OR(D43="",E43=""),"",IFERROR(INDEX('Evaluation table'!$B$4:$F$8,MATCH(TRIM(SUBSTITUTE(D43,"’","'")),'Evaluation table'!$A$4:$A$8,0),MATCH(TRIM(SUBSTITUTE(E43,"’","'")),'Evaluation table'!$B$3:$F$3,0)),"?"))</f>
        <v/>
      </c>
      <c r="P43" s="11">
        <f>IF(OR(F43="",G43=""),"",IFERROR(INDEX('Evaluation table'!$B$4:$F$8,MATCH(TRIM(SUBSTITUTE(F43,"’","'")),'Evaluation table'!$A$4:$A$8,0),MATCH(TRIM(SUBSTITUTE(G43,"’","'")),'Evaluation table'!$B$3:$F$3,0)),"?"))</f>
        <v/>
      </c>
      <c r="Q43" s="11">
        <f>IF(OR(H43="",I43=""),"",IFERROR(INDEX('Evaluation table'!$B$4:$F$8,MATCH(TRIM(SUBSTITUTE(H43,"’","'")),'Evaluation table'!$A$4:$A$8,0),MATCH(TRIM(SUBSTITUTE(I43,"’","'")),'Evaluation table'!$B$3:$F$3,0)),"?"))</f>
        <v/>
      </c>
      <c r="R43" s="11">
        <f>IF(OR(J43="",K43=""),"",IFERROR(INDEX('Evaluation table'!$B$4:$F$8,MATCH(TRIM(SUBSTITUTE(J43,"’","'")),'Evaluation table'!$A$4:$A$8,0),MATCH(TRIM(SUBSTITUTE(K43,"’","'")),'Evaluation table'!$B$3:$F$3,0)),"?"))</f>
        <v/>
      </c>
      <c r="S43" s="11">
        <f>IF(OR(L43="",M43=""),"",IFERROR(INDEX('Evaluation table'!$B$4:$F$8,MATCH(TRIM(SUBSTITUTE(L43,"’","'")),'Evaluation table'!$A$4:$A$8,0),MATCH(TRIM(SUBSTITUTE(M43,"’","'")),'Evaluation table'!$B$3:$F$3,0)),"?"))</f>
        <v/>
      </c>
    </row>
    <row r="44">
      <c r="A44" s="2" t="n">
        <v>26</v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1">
        <f>IF(OR(B44="",C44=""),"",IFERROR(INDEX('Evaluation table'!$B$4:$F$8,MATCH(TRIM(SUBSTITUTE(B44,"’","'")),'Evaluation table'!$A$4:$A$8,0),MATCH(TRIM(SUBSTITUTE(C44,"’","'")),'Evaluation table'!$B$3:$F$3,0)),"?"))</f>
        <v/>
      </c>
      <c r="O44" s="11">
        <f>IF(OR(D44="",E44=""),"",IFERROR(INDEX('Evaluation table'!$B$4:$F$8,MATCH(TRIM(SUBSTITUTE(D44,"’","'")),'Evaluation table'!$A$4:$A$8,0),MATCH(TRIM(SUBSTITUTE(E44,"’","'")),'Evaluation table'!$B$3:$F$3,0)),"?"))</f>
        <v/>
      </c>
      <c r="P44" s="11">
        <f>IF(OR(F44="",G44=""),"",IFERROR(INDEX('Evaluation table'!$B$4:$F$8,MATCH(TRIM(SUBSTITUTE(F44,"’","'")),'Evaluation table'!$A$4:$A$8,0),MATCH(TRIM(SUBSTITUTE(G44,"’","'")),'Evaluation table'!$B$3:$F$3,0)),"?"))</f>
        <v/>
      </c>
      <c r="Q44" s="11">
        <f>IF(OR(H44="",I44=""),"",IFERROR(INDEX('Evaluation table'!$B$4:$F$8,MATCH(TRIM(SUBSTITUTE(H44,"’","'")),'Evaluation table'!$A$4:$A$8,0),MATCH(TRIM(SUBSTITUTE(I44,"’","'")),'Evaluation table'!$B$3:$F$3,0)),"?"))</f>
        <v/>
      </c>
      <c r="R44" s="11">
        <f>IF(OR(J44="",K44=""),"",IFERROR(INDEX('Evaluation table'!$B$4:$F$8,MATCH(TRIM(SUBSTITUTE(J44,"’","'")),'Evaluation table'!$A$4:$A$8,0),MATCH(TRIM(SUBSTITUTE(K44,"’","'")),'Evaluation table'!$B$3:$F$3,0)),"?"))</f>
        <v/>
      </c>
      <c r="S44" s="11">
        <f>IF(OR(L44="",M44=""),"",IFERROR(INDEX('Evaluation table'!$B$4:$F$8,MATCH(TRIM(SUBSTITUTE(L44,"’","'")),'Evaluation table'!$A$4:$A$8,0),MATCH(TRIM(SUBSTITUTE(M44,"’","'")),'Evaluation table'!$B$3:$F$3,0)),"?"))</f>
        <v/>
      </c>
    </row>
    <row r="45">
      <c r="A45" s="2" t="n">
        <v>27</v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1">
        <f>IF(OR(B45="",C45=""),"",IFERROR(INDEX('Evaluation table'!$B$4:$F$8,MATCH(TRIM(SUBSTITUTE(B45,"’","'")),'Evaluation table'!$A$4:$A$8,0),MATCH(TRIM(SUBSTITUTE(C45,"’","'")),'Evaluation table'!$B$3:$F$3,0)),"?"))</f>
        <v/>
      </c>
      <c r="O45" s="11">
        <f>IF(OR(D45="",E45=""),"",IFERROR(INDEX('Evaluation table'!$B$4:$F$8,MATCH(TRIM(SUBSTITUTE(D45,"’","'")),'Evaluation table'!$A$4:$A$8,0),MATCH(TRIM(SUBSTITUTE(E45,"’","'")),'Evaluation table'!$B$3:$F$3,0)),"?"))</f>
        <v/>
      </c>
      <c r="P45" s="11">
        <f>IF(OR(F45="",G45=""),"",IFERROR(INDEX('Evaluation table'!$B$4:$F$8,MATCH(TRIM(SUBSTITUTE(F45,"’","'")),'Evaluation table'!$A$4:$A$8,0),MATCH(TRIM(SUBSTITUTE(G45,"’","'")),'Evaluation table'!$B$3:$F$3,0)),"?"))</f>
        <v/>
      </c>
      <c r="Q45" s="11">
        <f>IF(OR(H45="",I45=""),"",IFERROR(INDEX('Evaluation table'!$B$4:$F$8,MATCH(TRIM(SUBSTITUTE(H45,"’","'")),'Evaluation table'!$A$4:$A$8,0),MATCH(TRIM(SUBSTITUTE(I45,"’","'")),'Evaluation table'!$B$3:$F$3,0)),"?"))</f>
        <v/>
      </c>
      <c r="R45" s="11">
        <f>IF(OR(J45="",K45=""),"",IFERROR(INDEX('Evaluation table'!$B$4:$F$8,MATCH(TRIM(SUBSTITUTE(J45,"’","'")),'Evaluation table'!$A$4:$A$8,0),MATCH(TRIM(SUBSTITUTE(K45,"’","'")),'Evaluation table'!$B$3:$F$3,0)),"?"))</f>
        <v/>
      </c>
      <c r="S45" s="11">
        <f>IF(OR(L45="",M45=""),"",IFERROR(INDEX('Evaluation table'!$B$4:$F$8,MATCH(TRIM(SUBSTITUTE(L45,"’","'")),'Evaluation table'!$A$4:$A$8,0),MATCH(TRIM(SUBSTITUTE(M45,"’","'")),'Evaluation table'!$B$3:$F$3,0)),"?"))</f>
        <v/>
      </c>
    </row>
    <row r="46">
      <c r="A46" s="2" t="n">
        <v>28</v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1">
        <f>IF(OR(B46="",C46=""),"",IFERROR(INDEX('Evaluation table'!$B$4:$F$8,MATCH(TRIM(SUBSTITUTE(B46,"’","'")),'Evaluation table'!$A$4:$A$8,0),MATCH(TRIM(SUBSTITUTE(C46,"’","'")),'Evaluation table'!$B$3:$F$3,0)),"?"))</f>
        <v/>
      </c>
      <c r="O46" s="11">
        <f>IF(OR(D46="",E46=""),"",IFERROR(INDEX('Evaluation table'!$B$4:$F$8,MATCH(TRIM(SUBSTITUTE(D46,"’","'")),'Evaluation table'!$A$4:$A$8,0),MATCH(TRIM(SUBSTITUTE(E46,"’","'")),'Evaluation table'!$B$3:$F$3,0)),"?"))</f>
        <v/>
      </c>
      <c r="P46" s="11">
        <f>IF(OR(F46="",G46=""),"",IFERROR(INDEX('Evaluation table'!$B$4:$F$8,MATCH(TRIM(SUBSTITUTE(F46,"’","'")),'Evaluation table'!$A$4:$A$8,0),MATCH(TRIM(SUBSTITUTE(G46,"’","'")),'Evaluation table'!$B$3:$F$3,0)),"?"))</f>
        <v/>
      </c>
      <c r="Q46" s="11">
        <f>IF(OR(H46="",I46=""),"",IFERROR(INDEX('Evaluation table'!$B$4:$F$8,MATCH(TRIM(SUBSTITUTE(H46,"’","'")),'Evaluation table'!$A$4:$A$8,0),MATCH(TRIM(SUBSTITUTE(I46,"’","'")),'Evaluation table'!$B$3:$F$3,0)),"?"))</f>
        <v/>
      </c>
      <c r="R46" s="11">
        <f>IF(OR(J46="",K46=""),"",IFERROR(INDEX('Evaluation table'!$B$4:$F$8,MATCH(TRIM(SUBSTITUTE(J46,"’","'")),'Evaluation table'!$A$4:$A$8,0),MATCH(TRIM(SUBSTITUTE(K46,"’","'")),'Evaluation table'!$B$3:$F$3,0)),"?"))</f>
        <v/>
      </c>
      <c r="S46" s="11">
        <f>IF(OR(L46="",M46=""),"",IFERROR(INDEX('Evaluation table'!$B$4:$F$8,MATCH(TRIM(SUBSTITUTE(L46,"’","'")),'Evaluation table'!$A$4:$A$8,0),MATCH(TRIM(SUBSTITUTE(M46,"’","'")),'Evaluation table'!$B$3:$F$3,0)),"?"))</f>
        <v/>
      </c>
    </row>
    <row r="47">
      <c r="A47" s="2" t="n">
        <v>29</v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1">
        <f>IF(OR(B47="",C47=""),"",IFERROR(INDEX('Evaluation table'!$B$4:$F$8,MATCH(TRIM(SUBSTITUTE(B47,"’","'")),'Evaluation table'!$A$4:$A$8,0),MATCH(TRIM(SUBSTITUTE(C47,"’","'")),'Evaluation table'!$B$3:$F$3,0)),"?"))</f>
        <v/>
      </c>
      <c r="O47" s="11">
        <f>IF(OR(D47="",E47=""),"",IFERROR(INDEX('Evaluation table'!$B$4:$F$8,MATCH(TRIM(SUBSTITUTE(D47,"’","'")),'Evaluation table'!$A$4:$A$8,0),MATCH(TRIM(SUBSTITUTE(E47,"’","'")),'Evaluation table'!$B$3:$F$3,0)),"?"))</f>
        <v/>
      </c>
      <c r="P47" s="11">
        <f>IF(OR(F47="",G47=""),"",IFERROR(INDEX('Evaluation table'!$B$4:$F$8,MATCH(TRIM(SUBSTITUTE(F47,"’","'")),'Evaluation table'!$A$4:$A$8,0),MATCH(TRIM(SUBSTITUTE(G47,"’","'")),'Evaluation table'!$B$3:$F$3,0)),"?"))</f>
        <v/>
      </c>
      <c r="Q47" s="11">
        <f>IF(OR(H47="",I47=""),"",IFERROR(INDEX('Evaluation table'!$B$4:$F$8,MATCH(TRIM(SUBSTITUTE(H47,"’","'")),'Evaluation table'!$A$4:$A$8,0),MATCH(TRIM(SUBSTITUTE(I47,"’","'")),'Evaluation table'!$B$3:$F$3,0)),"?"))</f>
        <v/>
      </c>
      <c r="R47" s="11">
        <f>IF(OR(J47="",K47=""),"",IFERROR(INDEX('Evaluation table'!$B$4:$F$8,MATCH(TRIM(SUBSTITUTE(J47,"’","'")),'Evaluation table'!$A$4:$A$8,0),MATCH(TRIM(SUBSTITUTE(K47,"’","'")),'Evaluation table'!$B$3:$F$3,0)),"?"))</f>
        <v/>
      </c>
      <c r="S47" s="11">
        <f>IF(OR(L47="",M47=""),"",IFERROR(INDEX('Evaluation table'!$B$4:$F$8,MATCH(TRIM(SUBSTITUTE(L47,"’","'")),'Evaluation table'!$A$4:$A$8,0),MATCH(TRIM(SUBSTITUTE(M47,"’","'")),'Evaluation table'!$B$3:$F$3,0)),"?"))</f>
        <v/>
      </c>
    </row>
    <row r="48">
      <c r="A48" s="2" t="n">
        <v>30</v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1">
        <f>IF(OR(B48="",C48=""),"",IFERROR(INDEX('Evaluation table'!$B$4:$F$8,MATCH(TRIM(SUBSTITUTE(B48,"’","'")),'Evaluation table'!$A$4:$A$8,0),MATCH(TRIM(SUBSTITUTE(C48,"’","'")),'Evaluation table'!$B$3:$F$3,0)),"?"))</f>
        <v/>
      </c>
      <c r="O48" s="11">
        <f>IF(OR(D48="",E48=""),"",IFERROR(INDEX('Evaluation table'!$B$4:$F$8,MATCH(TRIM(SUBSTITUTE(D48,"’","'")),'Evaluation table'!$A$4:$A$8,0),MATCH(TRIM(SUBSTITUTE(E48,"’","'")),'Evaluation table'!$B$3:$F$3,0)),"?"))</f>
        <v/>
      </c>
      <c r="P48" s="11">
        <f>IF(OR(F48="",G48=""),"",IFERROR(INDEX('Evaluation table'!$B$4:$F$8,MATCH(TRIM(SUBSTITUTE(F48,"’","'")),'Evaluation table'!$A$4:$A$8,0),MATCH(TRIM(SUBSTITUTE(G48,"’","'")),'Evaluation table'!$B$3:$F$3,0)),"?"))</f>
        <v/>
      </c>
      <c r="Q48" s="11">
        <f>IF(OR(H48="",I48=""),"",IFERROR(INDEX('Evaluation table'!$B$4:$F$8,MATCH(TRIM(SUBSTITUTE(H48,"’","'")),'Evaluation table'!$A$4:$A$8,0),MATCH(TRIM(SUBSTITUTE(I48,"’","'")),'Evaluation table'!$B$3:$F$3,0)),"?"))</f>
        <v/>
      </c>
      <c r="R48" s="11">
        <f>IF(OR(J48="",K48=""),"",IFERROR(INDEX('Evaluation table'!$B$4:$F$8,MATCH(TRIM(SUBSTITUTE(J48,"’","'")),'Evaluation table'!$A$4:$A$8,0),MATCH(TRIM(SUBSTITUTE(K48,"’","'")),'Evaluation table'!$B$3:$F$3,0)),"?"))</f>
        <v/>
      </c>
      <c r="S48" s="11">
        <f>IF(OR(L48="",M48=""),"",IFERROR(INDEX('Evaluation table'!$B$4:$F$8,MATCH(TRIM(SUBSTITUTE(L48,"’","'")),'Evaluation table'!$A$4:$A$8,0),MATCH(TRIM(SUBSTITUTE(M48,"’","'")),'Evaluation table'!$B$3:$F$3,0)),"?"))</f>
        <v/>
      </c>
    </row>
    <row r="49">
      <c r="A49" s="2" t="n">
        <v>31</v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1">
        <f>IF(OR(B49="",C49=""),"",IFERROR(INDEX('Evaluation table'!$B$4:$F$8,MATCH(TRIM(SUBSTITUTE(B49,"’","'")),'Evaluation table'!$A$4:$A$8,0),MATCH(TRIM(SUBSTITUTE(C49,"’","'")),'Evaluation table'!$B$3:$F$3,0)),"?"))</f>
        <v/>
      </c>
      <c r="O49" s="11">
        <f>IF(OR(D49="",E49=""),"",IFERROR(INDEX('Evaluation table'!$B$4:$F$8,MATCH(TRIM(SUBSTITUTE(D49,"’","'")),'Evaluation table'!$A$4:$A$8,0),MATCH(TRIM(SUBSTITUTE(E49,"’","'")),'Evaluation table'!$B$3:$F$3,0)),"?"))</f>
        <v/>
      </c>
      <c r="P49" s="11">
        <f>IF(OR(F49="",G49=""),"",IFERROR(INDEX('Evaluation table'!$B$4:$F$8,MATCH(TRIM(SUBSTITUTE(F49,"’","'")),'Evaluation table'!$A$4:$A$8,0),MATCH(TRIM(SUBSTITUTE(G49,"’","'")),'Evaluation table'!$B$3:$F$3,0)),"?"))</f>
        <v/>
      </c>
      <c r="Q49" s="11">
        <f>IF(OR(H49="",I49=""),"",IFERROR(INDEX('Evaluation table'!$B$4:$F$8,MATCH(TRIM(SUBSTITUTE(H49,"’","'")),'Evaluation table'!$A$4:$A$8,0),MATCH(TRIM(SUBSTITUTE(I49,"’","'")),'Evaluation table'!$B$3:$F$3,0)),"?"))</f>
        <v/>
      </c>
      <c r="R49" s="11">
        <f>IF(OR(J49="",K49=""),"",IFERROR(INDEX('Evaluation table'!$B$4:$F$8,MATCH(TRIM(SUBSTITUTE(J49,"’","'")),'Evaluation table'!$A$4:$A$8,0),MATCH(TRIM(SUBSTITUTE(K49,"’","'")),'Evaluation table'!$B$3:$F$3,0)),"?"))</f>
        <v/>
      </c>
      <c r="S49" s="11">
        <f>IF(OR(L49="",M49=""),"",IFERROR(INDEX('Evaluation table'!$B$4:$F$8,MATCH(TRIM(SUBSTITUTE(L49,"’","'")),'Evaluation table'!$A$4:$A$8,0),MATCH(TRIM(SUBSTITUTE(M49,"’","'")),'Evaluation table'!$B$3:$F$3,0)),"?"))</f>
        <v/>
      </c>
    </row>
    <row r="50">
      <c r="A50" s="2" t="n">
        <v>32</v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1">
        <f>IF(OR(B50="",C50=""),"",IFERROR(INDEX('Evaluation table'!$B$4:$F$8,MATCH(TRIM(SUBSTITUTE(B50,"’","'")),'Evaluation table'!$A$4:$A$8,0),MATCH(TRIM(SUBSTITUTE(C50,"’","'")),'Evaluation table'!$B$3:$F$3,0)),"?"))</f>
        <v/>
      </c>
      <c r="O50" s="11">
        <f>IF(OR(D50="",E50=""),"",IFERROR(INDEX('Evaluation table'!$B$4:$F$8,MATCH(TRIM(SUBSTITUTE(D50,"’","'")),'Evaluation table'!$A$4:$A$8,0),MATCH(TRIM(SUBSTITUTE(E50,"’","'")),'Evaluation table'!$B$3:$F$3,0)),"?"))</f>
        <v/>
      </c>
      <c r="P50" s="11">
        <f>IF(OR(F50="",G50=""),"",IFERROR(INDEX('Evaluation table'!$B$4:$F$8,MATCH(TRIM(SUBSTITUTE(F50,"’","'")),'Evaluation table'!$A$4:$A$8,0),MATCH(TRIM(SUBSTITUTE(G50,"’","'")),'Evaluation table'!$B$3:$F$3,0)),"?"))</f>
        <v/>
      </c>
      <c r="Q50" s="11">
        <f>IF(OR(H50="",I50=""),"",IFERROR(INDEX('Evaluation table'!$B$4:$F$8,MATCH(TRIM(SUBSTITUTE(H50,"’","'")),'Evaluation table'!$A$4:$A$8,0),MATCH(TRIM(SUBSTITUTE(I50,"’","'")),'Evaluation table'!$B$3:$F$3,0)),"?"))</f>
        <v/>
      </c>
      <c r="R50" s="11">
        <f>IF(OR(J50="",K50=""),"",IFERROR(INDEX('Evaluation table'!$B$4:$F$8,MATCH(TRIM(SUBSTITUTE(J50,"’","'")),'Evaluation table'!$A$4:$A$8,0),MATCH(TRIM(SUBSTITUTE(K50,"’","'")),'Evaluation table'!$B$3:$F$3,0)),"?"))</f>
        <v/>
      </c>
      <c r="S50" s="11">
        <f>IF(OR(L50="",M50=""),"",IFERROR(INDEX('Evaluation table'!$B$4:$F$8,MATCH(TRIM(SUBSTITUTE(L50,"’","'")),'Evaluation table'!$A$4:$A$8,0),MATCH(TRIM(SUBSTITUTE(M50,"’","'")),'Evaluation table'!$B$3:$F$3,0)),"?"))</f>
        <v/>
      </c>
    </row>
    <row r="51">
      <c r="A51" s="2" t="n">
        <v>33</v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1">
        <f>IF(OR(B51="",C51=""),"",IFERROR(INDEX('Evaluation table'!$B$4:$F$8,MATCH(TRIM(SUBSTITUTE(B51,"’","'")),'Evaluation table'!$A$4:$A$8,0),MATCH(TRIM(SUBSTITUTE(C51,"’","'")),'Evaluation table'!$B$3:$F$3,0)),"?"))</f>
        <v/>
      </c>
      <c r="O51" s="11">
        <f>IF(OR(D51="",E51=""),"",IFERROR(INDEX('Evaluation table'!$B$4:$F$8,MATCH(TRIM(SUBSTITUTE(D51,"’","'")),'Evaluation table'!$A$4:$A$8,0),MATCH(TRIM(SUBSTITUTE(E51,"’","'")),'Evaluation table'!$B$3:$F$3,0)),"?"))</f>
        <v/>
      </c>
      <c r="P51" s="11">
        <f>IF(OR(F51="",G51=""),"",IFERROR(INDEX('Evaluation table'!$B$4:$F$8,MATCH(TRIM(SUBSTITUTE(F51,"’","'")),'Evaluation table'!$A$4:$A$8,0),MATCH(TRIM(SUBSTITUTE(G51,"’","'")),'Evaluation table'!$B$3:$F$3,0)),"?"))</f>
        <v/>
      </c>
      <c r="Q51" s="11">
        <f>IF(OR(H51="",I51=""),"",IFERROR(INDEX('Evaluation table'!$B$4:$F$8,MATCH(TRIM(SUBSTITUTE(H51,"’","'")),'Evaluation table'!$A$4:$A$8,0),MATCH(TRIM(SUBSTITUTE(I51,"’","'")),'Evaluation table'!$B$3:$F$3,0)),"?"))</f>
        <v/>
      </c>
      <c r="R51" s="11">
        <f>IF(OR(J51="",K51=""),"",IFERROR(INDEX('Evaluation table'!$B$4:$F$8,MATCH(TRIM(SUBSTITUTE(J51,"’","'")),'Evaluation table'!$A$4:$A$8,0),MATCH(TRIM(SUBSTITUTE(K51,"’","'")),'Evaluation table'!$B$3:$F$3,0)),"?"))</f>
        <v/>
      </c>
      <c r="S51" s="11">
        <f>IF(OR(L51="",M51=""),"",IFERROR(INDEX('Evaluation table'!$B$4:$F$8,MATCH(TRIM(SUBSTITUTE(L51,"’","'")),'Evaluation table'!$A$4:$A$8,0),MATCH(TRIM(SUBSTITUTE(M51,"’","'")),'Evaluation table'!$B$3:$F$3,0)),"?"))</f>
        <v/>
      </c>
    </row>
    <row r="52">
      <c r="A52" s="2" t="n">
        <v>34</v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1">
        <f>IF(OR(B52="",C52=""),"",IFERROR(INDEX('Evaluation table'!$B$4:$F$8,MATCH(TRIM(SUBSTITUTE(B52,"’","'")),'Evaluation table'!$A$4:$A$8,0),MATCH(TRIM(SUBSTITUTE(C52,"’","'")),'Evaluation table'!$B$3:$F$3,0)),"?"))</f>
        <v/>
      </c>
      <c r="O52" s="11">
        <f>IF(OR(D52="",E52=""),"",IFERROR(INDEX('Evaluation table'!$B$4:$F$8,MATCH(TRIM(SUBSTITUTE(D52,"’","'")),'Evaluation table'!$A$4:$A$8,0),MATCH(TRIM(SUBSTITUTE(E52,"’","'")),'Evaluation table'!$B$3:$F$3,0)),"?"))</f>
        <v/>
      </c>
      <c r="P52" s="11">
        <f>IF(OR(F52="",G52=""),"",IFERROR(INDEX('Evaluation table'!$B$4:$F$8,MATCH(TRIM(SUBSTITUTE(F52,"’","'")),'Evaluation table'!$A$4:$A$8,0),MATCH(TRIM(SUBSTITUTE(G52,"’","'")),'Evaluation table'!$B$3:$F$3,0)),"?"))</f>
        <v/>
      </c>
      <c r="Q52" s="11">
        <f>IF(OR(H52="",I52=""),"",IFERROR(INDEX('Evaluation table'!$B$4:$F$8,MATCH(TRIM(SUBSTITUTE(H52,"’","'")),'Evaluation table'!$A$4:$A$8,0),MATCH(TRIM(SUBSTITUTE(I52,"’","'")),'Evaluation table'!$B$3:$F$3,0)),"?"))</f>
        <v/>
      </c>
      <c r="R52" s="11">
        <f>IF(OR(J52="",K52=""),"",IFERROR(INDEX('Evaluation table'!$B$4:$F$8,MATCH(TRIM(SUBSTITUTE(J52,"’","'")),'Evaluation table'!$A$4:$A$8,0),MATCH(TRIM(SUBSTITUTE(K52,"’","'")),'Evaluation table'!$B$3:$F$3,0)),"?"))</f>
        <v/>
      </c>
      <c r="S52" s="11">
        <f>IF(OR(L52="",M52=""),"",IFERROR(INDEX('Evaluation table'!$B$4:$F$8,MATCH(TRIM(SUBSTITUTE(L52,"’","'")),'Evaluation table'!$A$4:$A$8,0),MATCH(TRIM(SUBSTITUTE(M52,"’","'")),'Evaluation table'!$B$3:$F$3,0)),"?"))</f>
        <v/>
      </c>
    </row>
    <row r="53">
      <c r="A53" s="2" t="n">
        <v>35</v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1">
        <f>IF(OR(B53="",C53=""),"",IFERROR(INDEX('Evaluation table'!$B$4:$F$8,MATCH(TRIM(SUBSTITUTE(B53,"’","'")),'Evaluation table'!$A$4:$A$8,0),MATCH(TRIM(SUBSTITUTE(C53,"’","'")),'Evaluation table'!$B$3:$F$3,0)),"?"))</f>
        <v/>
      </c>
      <c r="O53" s="11">
        <f>IF(OR(D53="",E53=""),"",IFERROR(INDEX('Evaluation table'!$B$4:$F$8,MATCH(TRIM(SUBSTITUTE(D53,"’","'")),'Evaluation table'!$A$4:$A$8,0),MATCH(TRIM(SUBSTITUTE(E53,"’","'")),'Evaluation table'!$B$3:$F$3,0)),"?"))</f>
        <v/>
      </c>
      <c r="P53" s="11">
        <f>IF(OR(F53="",G53=""),"",IFERROR(INDEX('Evaluation table'!$B$4:$F$8,MATCH(TRIM(SUBSTITUTE(F53,"’","'")),'Evaluation table'!$A$4:$A$8,0),MATCH(TRIM(SUBSTITUTE(G53,"’","'")),'Evaluation table'!$B$3:$F$3,0)),"?"))</f>
        <v/>
      </c>
      <c r="Q53" s="11">
        <f>IF(OR(H53="",I53=""),"",IFERROR(INDEX('Evaluation table'!$B$4:$F$8,MATCH(TRIM(SUBSTITUTE(H53,"’","'")),'Evaluation table'!$A$4:$A$8,0),MATCH(TRIM(SUBSTITUTE(I53,"’","'")),'Evaluation table'!$B$3:$F$3,0)),"?"))</f>
        <v/>
      </c>
      <c r="R53" s="11">
        <f>IF(OR(J53="",K53=""),"",IFERROR(INDEX('Evaluation table'!$B$4:$F$8,MATCH(TRIM(SUBSTITUTE(J53,"’","'")),'Evaluation table'!$A$4:$A$8,0),MATCH(TRIM(SUBSTITUTE(K53,"’","'")),'Evaluation table'!$B$3:$F$3,0)),"?"))</f>
        <v/>
      </c>
      <c r="S53" s="11">
        <f>IF(OR(L53="",M53=""),"",IFERROR(INDEX('Evaluation table'!$B$4:$F$8,MATCH(TRIM(SUBSTITUTE(L53,"’","'")),'Evaluation table'!$A$4:$A$8,0),MATCH(TRIM(SUBSTITUTE(M53,"’","'")),'Evaluation table'!$B$3:$F$3,0)),"?"))</f>
        <v/>
      </c>
    </row>
    <row r="54">
      <c r="A54" s="2" t="n">
        <v>36</v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1">
        <f>IF(OR(B54="",C54=""),"",IFERROR(INDEX('Evaluation table'!$B$4:$F$8,MATCH(TRIM(SUBSTITUTE(B54,"’","'")),'Evaluation table'!$A$4:$A$8,0),MATCH(TRIM(SUBSTITUTE(C54,"’","'")),'Evaluation table'!$B$3:$F$3,0)),"?"))</f>
        <v/>
      </c>
      <c r="O54" s="11">
        <f>IF(OR(D54="",E54=""),"",IFERROR(INDEX('Evaluation table'!$B$4:$F$8,MATCH(TRIM(SUBSTITUTE(D54,"’","'")),'Evaluation table'!$A$4:$A$8,0),MATCH(TRIM(SUBSTITUTE(E54,"’","'")),'Evaluation table'!$B$3:$F$3,0)),"?"))</f>
        <v/>
      </c>
      <c r="P54" s="11">
        <f>IF(OR(F54="",G54=""),"",IFERROR(INDEX('Evaluation table'!$B$4:$F$8,MATCH(TRIM(SUBSTITUTE(F54,"’","'")),'Evaluation table'!$A$4:$A$8,0),MATCH(TRIM(SUBSTITUTE(G54,"’","'")),'Evaluation table'!$B$3:$F$3,0)),"?"))</f>
        <v/>
      </c>
      <c r="Q54" s="11">
        <f>IF(OR(H54="",I54=""),"",IFERROR(INDEX('Evaluation table'!$B$4:$F$8,MATCH(TRIM(SUBSTITUTE(H54,"’","'")),'Evaluation table'!$A$4:$A$8,0),MATCH(TRIM(SUBSTITUTE(I54,"’","'")),'Evaluation table'!$B$3:$F$3,0)),"?"))</f>
        <v/>
      </c>
      <c r="R54" s="11">
        <f>IF(OR(J54="",K54=""),"",IFERROR(INDEX('Evaluation table'!$B$4:$F$8,MATCH(TRIM(SUBSTITUTE(J54,"’","'")),'Evaluation table'!$A$4:$A$8,0),MATCH(TRIM(SUBSTITUTE(K54,"’","'")),'Evaluation table'!$B$3:$F$3,0)),"?"))</f>
        <v/>
      </c>
      <c r="S54" s="11">
        <f>IF(OR(L54="",M54=""),"",IFERROR(INDEX('Evaluation table'!$B$4:$F$8,MATCH(TRIM(SUBSTITUTE(L54,"’","'")),'Evaluation table'!$A$4:$A$8,0),MATCH(TRIM(SUBSTITUTE(M54,"’","'")),'Evaluation table'!$B$3:$F$3,0)),"?"))</f>
        <v/>
      </c>
    </row>
    <row r="55">
      <c r="A55" s="2" t="n">
        <v>37</v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1">
        <f>IF(OR(B55="",C55=""),"",IFERROR(INDEX('Evaluation table'!$B$4:$F$8,MATCH(TRIM(SUBSTITUTE(B55,"’","'")),'Evaluation table'!$A$4:$A$8,0),MATCH(TRIM(SUBSTITUTE(C55,"’","'")),'Evaluation table'!$B$3:$F$3,0)),"?"))</f>
        <v/>
      </c>
      <c r="O55" s="11">
        <f>IF(OR(D55="",E55=""),"",IFERROR(INDEX('Evaluation table'!$B$4:$F$8,MATCH(TRIM(SUBSTITUTE(D55,"’","'")),'Evaluation table'!$A$4:$A$8,0),MATCH(TRIM(SUBSTITUTE(E55,"’","'")),'Evaluation table'!$B$3:$F$3,0)),"?"))</f>
        <v/>
      </c>
      <c r="P55" s="11">
        <f>IF(OR(F55="",G55=""),"",IFERROR(INDEX('Evaluation table'!$B$4:$F$8,MATCH(TRIM(SUBSTITUTE(F55,"’","'")),'Evaluation table'!$A$4:$A$8,0),MATCH(TRIM(SUBSTITUTE(G55,"’","'")),'Evaluation table'!$B$3:$F$3,0)),"?"))</f>
        <v/>
      </c>
      <c r="Q55" s="11">
        <f>IF(OR(H55="",I55=""),"",IFERROR(INDEX('Evaluation table'!$B$4:$F$8,MATCH(TRIM(SUBSTITUTE(H55,"’","'")),'Evaluation table'!$A$4:$A$8,0),MATCH(TRIM(SUBSTITUTE(I55,"’","'")),'Evaluation table'!$B$3:$F$3,0)),"?"))</f>
        <v/>
      </c>
      <c r="R55" s="11">
        <f>IF(OR(J55="",K55=""),"",IFERROR(INDEX('Evaluation table'!$B$4:$F$8,MATCH(TRIM(SUBSTITUTE(J55,"’","'")),'Evaluation table'!$A$4:$A$8,0),MATCH(TRIM(SUBSTITUTE(K55,"’","'")),'Evaluation table'!$B$3:$F$3,0)),"?"))</f>
        <v/>
      </c>
      <c r="S55" s="11">
        <f>IF(OR(L55="",M55=""),"",IFERROR(INDEX('Evaluation table'!$B$4:$F$8,MATCH(TRIM(SUBSTITUTE(L55,"’","'")),'Evaluation table'!$A$4:$A$8,0),MATCH(TRIM(SUBSTITUTE(M55,"’","'")),'Evaluation table'!$B$3:$F$3,0)),"?"))</f>
        <v/>
      </c>
    </row>
    <row r="56">
      <c r="A56" s="2" t="n">
        <v>38</v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1">
        <f>IF(OR(B56="",C56=""),"",IFERROR(INDEX('Evaluation table'!$B$4:$F$8,MATCH(TRIM(SUBSTITUTE(B56,"’","'")),'Evaluation table'!$A$4:$A$8,0),MATCH(TRIM(SUBSTITUTE(C56,"’","'")),'Evaluation table'!$B$3:$F$3,0)),"?"))</f>
        <v/>
      </c>
      <c r="O56" s="11">
        <f>IF(OR(D56="",E56=""),"",IFERROR(INDEX('Evaluation table'!$B$4:$F$8,MATCH(TRIM(SUBSTITUTE(D56,"’","'")),'Evaluation table'!$A$4:$A$8,0),MATCH(TRIM(SUBSTITUTE(E56,"’","'")),'Evaluation table'!$B$3:$F$3,0)),"?"))</f>
        <v/>
      </c>
      <c r="P56" s="11">
        <f>IF(OR(F56="",G56=""),"",IFERROR(INDEX('Evaluation table'!$B$4:$F$8,MATCH(TRIM(SUBSTITUTE(F56,"’","'")),'Evaluation table'!$A$4:$A$8,0),MATCH(TRIM(SUBSTITUTE(G56,"’","'")),'Evaluation table'!$B$3:$F$3,0)),"?"))</f>
        <v/>
      </c>
      <c r="Q56" s="11">
        <f>IF(OR(H56="",I56=""),"",IFERROR(INDEX('Evaluation table'!$B$4:$F$8,MATCH(TRIM(SUBSTITUTE(H56,"’","'")),'Evaluation table'!$A$4:$A$8,0),MATCH(TRIM(SUBSTITUTE(I56,"’","'")),'Evaluation table'!$B$3:$F$3,0)),"?"))</f>
        <v/>
      </c>
      <c r="R56" s="11">
        <f>IF(OR(J56="",K56=""),"",IFERROR(INDEX('Evaluation table'!$B$4:$F$8,MATCH(TRIM(SUBSTITUTE(J56,"’","'")),'Evaluation table'!$A$4:$A$8,0),MATCH(TRIM(SUBSTITUTE(K56,"’","'")),'Evaluation table'!$B$3:$F$3,0)),"?"))</f>
        <v/>
      </c>
      <c r="S56" s="11">
        <f>IF(OR(L56="",M56=""),"",IFERROR(INDEX('Evaluation table'!$B$4:$F$8,MATCH(TRIM(SUBSTITUTE(L56,"’","'")),'Evaluation table'!$A$4:$A$8,0),MATCH(TRIM(SUBSTITUTE(M56,"’","'")),'Evaluation table'!$B$3:$F$3,0)),"?"))</f>
        <v/>
      </c>
    </row>
    <row r="57">
      <c r="A57" s="2" t="n">
        <v>39</v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1">
        <f>IF(OR(B57="",C57=""),"",IFERROR(INDEX('Evaluation table'!$B$4:$F$8,MATCH(TRIM(SUBSTITUTE(B57,"’","'")),'Evaluation table'!$A$4:$A$8,0),MATCH(TRIM(SUBSTITUTE(C57,"’","'")),'Evaluation table'!$B$3:$F$3,0)),"?"))</f>
        <v/>
      </c>
      <c r="O57" s="11">
        <f>IF(OR(D57="",E57=""),"",IFERROR(INDEX('Evaluation table'!$B$4:$F$8,MATCH(TRIM(SUBSTITUTE(D57,"’","'")),'Evaluation table'!$A$4:$A$8,0),MATCH(TRIM(SUBSTITUTE(E57,"’","'")),'Evaluation table'!$B$3:$F$3,0)),"?"))</f>
        <v/>
      </c>
      <c r="P57" s="11">
        <f>IF(OR(F57="",G57=""),"",IFERROR(INDEX('Evaluation table'!$B$4:$F$8,MATCH(TRIM(SUBSTITUTE(F57,"’","'")),'Evaluation table'!$A$4:$A$8,0),MATCH(TRIM(SUBSTITUTE(G57,"’","'")),'Evaluation table'!$B$3:$F$3,0)),"?"))</f>
        <v/>
      </c>
      <c r="Q57" s="11">
        <f>IF(OR(H57="",I57=""),"",IFERROR(INDEX('Evaluation table'!$B$4:$F$8,MATCH(TRIM(SUBSTITUTE(H57,"’","'")),'Evaluation table'!$A$4:$A$8,0),MATCH(TRIM(SUBSTITUTE(I57,"’","'")),'Evaluation table'!$B$3:$F$3,0)),"?"))</f>
        <v/>
      </c>
      <c r="R57" s="11">
        <f>IF(OR(J57="",K57=""),"",IFERROR(INDEX('Evaluation table'!$B$4:$F$8,MATCH(TRIM(SUBSTITUTE(J57,"’","'")),'Evaluation table'!$A$4:$A$8,0),MATCH(TRIM(SUBSTITUTE(K57,"’","'")),'Evaluation table'!$B$3:$F$3,0)),"?"))</f>
        <v/>
      </c>
      <c r="S57" s="11">
        <f>IF(OR(L57="",M57=""),"",IFERROR(INDEX('Evaluation table'!$B$4:$F$8,MATCH(TRIM(SUBSTITUTE(L57,"’","'")),'Evaluation table'!$A$4:$A$8,0),MATCH(TRIM(SUBSTITUTE(M57,"’","'")),'Evaluation table'!$B$3:$F$3,0)),"?"))</f>
        <v/>
      </c>
    </row>
    <row r="58">
      <c r="A58" s="2" t="n">
        <v>40</v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1">
        <f>IF(OR(B58="",C58=""),"",IFERROR(INDEX('Evaluation table'!$B$4:$F$8,MATCH(TRIM(SUBSTITUTE(B58,"’","'")),'Evaluation table'!$A$4:$A$8,0),MATCH(TRIM(SUBSTITUTE(C58,"’","'")),'Evaluation table'!$B$3:$F$3,0)),"?"))</f>
        <v/>
      </c>
      <c r="O58" s="11">
        <f>IF(OR(D58="",E58=""),"",IFERROR(INDEX('Evaluation table'!$B$4:$F$8,MATCH(TRIM(SUBSTITUTE(D58,"’","'")),'Evaluation table'!$A$4:$A$8,0),MATCH(TRIM(SUBSTITUTE(E58,"’","'")),'Evaluation table'!$B$3:$F$3,0)),"?"))</f>
        <v/>
      </c>
      <c r="P58" s="11">
        <f>IF(OR(F58="",G58=""),"",IFERROR(INDEX('Evaluation table'!$B$4:$F$8,MATCH(TRIM(SUBSTITUTE(F58,"’","'")),'Evaluation table'!$A$4:$A$8,0),MATCH(TRIM(SUBSTITUTE(G58,"’","'")),'Evaluation table'!$B$3:$F$3,0)),"?"))</f>
        <v/>
      </c>
      <c r="Q58" s="11">
        <f>IF(OR(H58="",I58=""),"",IFERROR(INDEX('Evaluation table'!$B$4:$F$8,MATCH(TRIM(SUBSTITUTE(H58,"’","'")),'Evaluation table'!$A$4:$A$8,0),MATCH(TRIM(SUBSTITUTE(I58,"’","'")),'Evaluation table'!$B$3:$F$3,0)),"?"))</f>
        <v/>
      </c>
      <c r="R58" s="11">
        <f>IF(OR(J58="",K58=""),"",IFERROR(INDEX('Evaluation table'!$B$4:$F$8,MATCH(TRIM(SUBSTITUTE(J58,"’","'")),'Evaluation table'!$A$4:$A$8,0),MATCH(TRIM(SUBSTITUTE(K58,"’","'")),'Evaluation table'!$B$3:$F$3,0)),"?"))</f>
        <v/>
      </c>
      <c r="S58" s="11">
        <f>IF(OR(L58="",M58=""),"",IFERROR(INDEX('Evaluation table'!$B$4:$F$8,MATCH(TRIM(SUBSTITUTE(L58,"’","'")),'Evaluation table'!$A$4:$A$8,0),MATCH(TRIM(SUBSTITUTE(M58,"’","'")),'Evaluation table'!$B$3:$F$3,0)),"?"))</f>
        <v/>
      </c>
    </row>
    <row r="59">
      <c r="A59" s="2" t="n">
        <v>41</v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1">
        <f>IF(OR(B59="",C59=""),"",IFERROR(INDEX('Evaluation table'!$B$4:$F$8,MATCH(TRIM(SUBSTITUTE(B59,"’","'")),'Evaluation table'!$A$4:$A$8,0),MATCH(TRIM(SUBSTITUTE(C59,"’","'")),'Evaluation table'!$B$3:$F$3,0)),"?"))</f>
        <v/>
      </c>
      <c r="O59" s="11">
        <f>IF(OR(D59="",E59=""),"",IFERROR(INDEX('Evaluation table'!$B$4:$F$8,MATCH(TRIM(SUBSTITUTE(D59,"’","'")),'Evaluation table'!$A$4:$A$8,0),MATCH(TRIM(SUBSTITUTE(E59,"’","'")),'Evaluation table'!$B$3:$F$3,0)),"?"))</f>
        <v/>
      </c>
      <c r="P59" s="11">
        <f>IF(OR(F59="",G59=""),"",IFERROR(INDEX('Evaluation table'!$B$4:$F$8,MATCH(TRIM(SUBSTITUTE(F59,"’","'")),'Evaluation table'!$A$4:$A$8,0),MATCH(TRIM(SUBSTITUTE(G59,"’","'")),'Evaluation table'!$B$3:$F$3,0)),"?"))</f>
        <v/>
      </c>
      <c r="Q59" s="11">
        <f>IF(OR(H59="",I59=""),"",IFERROR(INDEX('Evaluation table'!$B$4:$F$8,MATCH(TRIM(SUBSTITUTE(H59,"’","'")),'Evaluation table'!$A$4:$A$8,0),MATCH(TRIM(SUBSTITUTE(I59,"’","'")),'Evaluation table'!$B$3:$F$3,0)),"?"))</f>
        <v/>
      </c>
      <c r="R59" s="11">
        <f>IF(OR(J59="",K59=""),"",IFERROR(INDEX('Evaluation table'!$B$4:$F$8,MATCH(TRIM(SUBSTITUTE(J59,"’","'")),'Evaluation table'!$A$4:$A$8,0),MATCH(TRIM(SUBSTITUTE(K59,"’","'")),'Evaluation table'!$B$3:$F$3,0)),"?"))</f>
        <v/>
      </c>
      <c r="S59" s="11">
        <f>IF(OR(L59="",M59=""),"",IFERROR(INDEX('Evaluation table'!$B$4:$F$8,MATCH(TRIM(SUBSTITUTE(L59,"’","'")),'Evaluation table'!$A$4:$A$8,0),MATCH(TRIM(SUBSTITUTE(M59,"’","'")),'Evaluation table'!$B$3:$F$3,0)),"?"))</f>
        <v/>
      </c>
    </row>
    <row r="60">
      <c r="A60" s="2" t="n">
        <v>42</v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1">
        <f>IF(OR(B60="",C60=""),"",IFERROR(INDEX('Evaluation table'!$B$4:$F$8,MATCH(TRIM(SUBSTITUTE(B60,"’","'")),'Evaluation table'!$A$4:$A$8,0),MATCH(TRIM(SUBSTITUTE(C60,"’","'")),'Evaluation table'!$B$3:$F$3,0)),"?"))</f>
        <v/>
      </c>
      <c r="O60" s="11">
        <f>IF(OR(D60="",E60=""),"",IFERROR(INDEX('Evaluation table'!$B$4:$F$8,MATCH(TRIM(SUBSTITUTE(D60,"’","'")),'Evaluation table'!$A$4:$A$8,0),MATCH(TRIM(SUBSTITUTE(E60,"’","'")),'Evaluation table'!$B$3:$F$3,0)),"?"))</f>
        <v/>
      </c>
      <c r="P60" s="11">
        <f>IF(OR(F60="",G60=""),"",IFERROR(INDEX('Evaluation table'!$B$4:$F$8,MATCH(TRIM(SUBSTITUTE(F60,"’","'")),'Evaluation table'!$A$4:$A$8,0),MATCH(TRIM(SUBSTITUTE(G60,"’","'")),'Evaluation table'!$B$3:$F$3,0)),"?"))</f>
        <v/>
      </c>
      <c r="Q60" s="11">
        <f>IF(OR(H60="",I60=""),"",IFERROR(INDEX('Evaluation table'!$B$4:$F$8,MATCH(TRIM(SUBSTITUTE(H60,"’","'")),'Evaluation table'!$A$4:$A$8,0),MATCH(TRIM(SUBSTITUTE(I60,"’","'")),'Evaluation table'!$B$3:$F$3,0)),"?"))</f>
        <v/>
      </c>
      <c r="R60" s="11">
        <f>IF(OR(J60="",K60=""),"",IFERROR(INDEX('Evaluation table'!$B$4:$F$8,MATCH(TRIM(SUBSTITUTE(J60,"’","'")),'Evaluation table'!$A$4:$A$8,0),MATCH(TRIM(SUBSTITUTE(K60,"’","'")),'Evaluation table'!$B$3:$F$3,0)),"?"))</f>
        <v/>
      </c>
      <c r="S60" s="11">
        <f>IF(OR(L60="",M60=""),"",IFERROR(INDEX('Evaluation table'!$B$4:$F$8,MATCH(TRIM(SUBSTITUTE(L60,"’","'")),'Evaluation table'!$A$4:$A$8,0),MATCH(TRIM(SUBSTITUTE(M60,"’","'")),'Evaluation table'!$B$3:$F$3,0)),"?"))</f>
        <v/>
      </c>
    </row>
    <row r="61">
      <c r="A61" s="2" t="n">
        <v>43</v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1">
        <f>IF(OR(B61="",C61=""),"",IFERROR(INDEX('Evaluation table'!$B$4:$F$8,MATCH(TRIM(SUBSTITUTE(B61,"’","'")),'Evaluation table'!$A$4:$A$8,0),MATCH(TRIM(SUBSTITUTE(C61,"’","'")),'Evaluation table'!$B$3:$F$3,0)),"?"))</f>
        <v/>
      </c>
      <c r="O61" s="11">
        <f>IF(OR(D61="",E61=""),"",IFERROR(INDEX('Evaluation table'!$B$4:$F$8,MATCH(TRIM(SUBSTITUTE(D61,"’","'")),'Evaluation table'!$A$4:$A$8,0),MATCH(TRIM(SUBSTITUTE(E61,"’","'")),'Evaluation table'!$B$3:$F$3,0)),"?"))</f>
        <v/>
      </c>
      <c r="P61" s="11">
        <f>IF(OR(F61="",G61=""),"",IFERROR(INDEX('Evaluation table'!$B$4:$F$8,MATCH(TRIM(SUBSTITUTE(F61,"’","'")),'Evaluation table'!$A$4:$A$8,0),MATCH(TRIM(SUBSTITUTE(G61,"’","'")),'Evaluation table'!$B$3:$F$3,0)),"?"))</f>
        <v/>
      </c>
      <c r="Q61" s="11">
        <f>IF(OR(H61="",I61=""),"",IFERROR(INDEX('Evaluation table'!$B$4:$F$8,MATCH(TRIM(SUBSTITUTE(H61,"’","'")),'Evaluation table'!$A$4:$A$8,0),MATCH(TRIM(SUBSTITUTE(I61,"’","'")),'Evaluation table'!$B$3:$F$3,0)),"?"))</f>
        <v/>
      </c>
      <c r="R61" s="11">
        <f>IF(OR(J61="",K61=""),"",IFERROR(INDEX('Evaluation table'!$B$4:$F$8,MATCH(TRIM(SUBSTITUTE(J61,"’","'")),'Evaluation table'!$A$4:$A$8,0),MATCH(TRIM(SUBSTITUTE(K61,"’","'")),'Evaluation table'!$B$3:$F$3,0)),"?"))</f>
        <v/>
      </c>
      <c r="S61" s="11">
        <f>IF(OR(L61="",M61=""),"",IFERROR(INDEX('Evaluation table'!$B$4:$F$8,MATCH(TRIM(SUBSTITUTE(L61,"’","'")),'Evaluation table'!$A$4:$A$8,0),MATCH(TRIM(SUBSTITUTE(M61,"’","'")),'Evaluation table'!$B$3:$F$3,0)),"?"))</f>
        <v/>
      </c>
    </row>
    <row r="62">
      <c r="A62" s="2" t="n">
        <v>44</v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1">
        <f>IF(OR(B62="",C62=""),"",IFERROR(INDEX('Evaluation table'!$B$4:$F$8,MATCH(TRIM(SUBSTITUTE(B62,"’","'")),'Evaluation table'!$A$4:$A$8,0),MATCH(TRIM(SUBSTITUTE(C62,"’","'")),'Evaluation table'!$B$3:$F$3,0)),"?"))</f>
        <v/>
      </c>
      <c r="O62" s="11">
        <f>IF(OR(D62="",E62=""),"",IFERROR(INDEX('Evaluation table'!$B$4:$F$8,MATCH(TRIM(SUBSTITUTE(D62,"’","'")),'Evaluation table'!$A$4:$A$8,0),MATCH(TRIM(SUBSTITUTE(E62,"’","'")),'Evaluation table'!$B$3:$F$3,0)),"?"))</f>
        <v/>
      </c>
      <c r="P62" s="11">
        <f>IF(OR(F62="",G62=""),"",IFERROR(INDEX('Evaluation table'!$B$4:$F$8,MATCH(TRIM(SUBSTITUTE(F62,"’","'")),'Evaluation table'!$A$4:$A$8,0),MATCH(TRIM(SUBSTITUTE(G62,"’","'")),'Evaluation table'!$B$3:$F$3,0)),"?"))</f>
        <v/>
      </c>
      <c r="Q62" s="11">
        <f>IF(OR(H62="",I62=""),"",IFERROR(INDEX('Evaluation table'!$B$4:$F$8,MATCH(TRIM(SUBSTITUTE(H62,"’","'")),'Evaluation table'!$A$4:$A$8,0),MATCH(TRIM(SUBSTITUTE(I62,"’","'")),'Evaluation table'!$B$3:$F$3,0)),"?"))</f>
        <v/>
      </c>
      <c r="R62" s="11">
        <f>IF(OR(J62="",K62=""),"",IFERROR(INDEX('Evaluation table'!$B$4:$F$8,MATCH(TRIM(SUBSTITUTE(J62,"’","'")),'Evaluation table'!$A$4:$A$8,0),MATCH(TRIM(SUBSTITUTE(K62,"’","'")),'Evaluation table'!$B$3:$F$3,0)),"?"))</f>
        <v/>
      </c>
      <c r="S62" s="11">
        <f>IF(OR(L62="",M62=""),"",IFERROR(INDEX('Evaluation table'!$B$4:$F$8,MATCH(TRIM(SUBSTITUTE(L62,"’","'")),'Evaluation table'!$A$4:$A$8,0),MATCH(TRIM(SUBSTITUTE(M62,"’","'")),'Evaluation table'!$B$3:$F$3,0)),"?"))</f>
        <v/>
      </c>
    </row>
    <row r="63">
      <c r="A63" s="2" t="n">
        <v>45</v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1">
        <f>IF(OR(B63="",C63=""),"",IFERROR(INDEX('Evaluation table'!$B$4:$F$8,MATCH(TRIM(SUBSTITUTE(B63,"’","'")),'Evaluation table'!$A$4:$A$8,0),MATCH(TRIM(SUBSTITUTE(C63,"’","'")),'Evaluation table'!$B$3:$F$3,0)),"?"))</f>
        <v/>
      </c>
      <c r="O63" s="11">
        <f>IF(OR(D63="",E63=""),"",IFERROR(INDEX('Evaluation table'!$B$4:$F$8,MATCH(TRIM(SUBSTITUTE(D63,"’","'")),'Evaluation table'!$A$4:$A$8,0),MATCH(TRIM(SUBSTITUTE(E63,"’","'")),'Evaluation table'!$B$3:$F$3,0)),"?"))</f>
        <v/>
      </c>
      <c r="P63" s="11">
        <f>IF(OR(F63="",G63=""),"",IFERROR(INDEX('Evaluation table'!$B$4:$F$8,MATCH(TRIM(SUBSTITUTE(F63,"’","'")),'Evaluation table'!$A$4:$A$8,0),MATCH(TRIM(SUBSTITUTE(G63,"’","'")),'Evaluation table'!$B$3:$F$3,0)),"?"))</f>
        <v/>
      </c>
      <c r="Q63" s="11">
        <f>IF(OR(H63="",I63=""),"",IFERROR(INDEX('Evaluation table'!$B$4:$F$8,MATCH(TRIM(SUBSTITUTE(H63,"’","'")),'Evaluation table'!$A$4:$A$8,0),MATCH(TRIM(SUBSTITUTE(I63,"’","'")),'Evaluation table'!$B$3:$F$3,0)),"?"))</f>
        <v/>
      </c>
      <c r="R63" s="11">
        <f>IF(OR(J63="",K63=""),"",IFERROR(INDEX('Evaluation table'!$B$4:$F$8,MATCH(TRIM(SUBSTITUTE(J63,"’","'")),'Evaluation table'!$A$4:$A$8,0),MATCH(TRIM(SUBSTITUTE(K63,"’","'")),'Evaluation table'!$B$3:$F$3,0)),"?"))</f>
        <v/>
      </c>
      <c r="S63" s="11">
        <f>IF(OR(L63="",M63=""),"",IFERROR(INDEX('Evaluation table'!$B$4:$F$8,MATCH(TRIM(SUBSTITUTE(L63,"’","'")),'Evaluation table'!$A$4:$A$8,0),MATCH(TRIM(SUBSTITUTE(M63,"’","'")),'Evaluation table'!$B$3:$F$3,0)),"?"))</f>
        <v/>
      </c>
    </row>
    <row r="64">
      <c r="A64" s="2" t="n">
        <v>46</v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1">
        <f>IF(OR(B64="",C64=""),"",IFERROR(INDEX('Evaluation table'!$B$4:$F$8,MATCH(TRIM(SUBSTITUTE(B64,"’","'")),'Evaluation table'!$A$4:$A$8,0),MATCH(TRIM(SUBSTITUTE(C64,"’","'")),'Evaluation table'!$B$3:$F$3,0)),"?"))</f>
        <v/>
      </c>
      <c r="O64" s="11">
        <f>IF(OR(D64="",E64=""),"",IFERROR(INDEX('Evaluation table'!$B$4:$F$8,MATCH(TRIM(SUBSTITUTE(D64,"’","'")),'Evaluation table'!$A$4:$A$8,0),MATCH(TRIM(SUBSTITUTE(E64,"’","'")),'Evaluation table'!$B$3:$F$3,0)),"?"))</f>
        <v/>
      </c>
      <c r="P64" s="11">
        <f>IF(OR(F64="",G64=""),"",IFERROR(INDEX('Evaluation table'!$B$4:$F$8,MATCH(TRIM(SUBSTITUTE(F64,"’","'")),'Evaluation table'!$A$4:$A$8,0),MATCH(TRIM(SUBSTITUTE(G64,"’","'")),'Evaluation table'!$B$3:$F$3,0)),"?"))</f>
        <v/>
      </c>
      <c r="Q64" s="11">
        <f>IF(OR(H64="",I64=""),"",IFERROR(INDEX('Evaluation table'!$B$4:$F$8,MATCH(TRIM(SUBSTITUTE(H64,"’","'")),'Evaluation table'!$A$4:$A$8,0),MATCH(TRIM(SUBSTITUTE(I64,"’","'")),'Evaluation table'!$B$3:$F$3,0)),"?"))</f>
        <v/>
      </c>
      <c r="R64" s="11">
        <f>IF(OR(J64="",K64=""),"",IFERROR(INDEX('Evaluation table'!$B$4:$F$8,MATCH(TRIM(SUBSTITUTE(J64,"’","'")),'Evaluation table'!$A$4:$A$8,0),MATCH(TRIM(SUBSTITUTE(K64,"’","'")),'Evaluation table'!$B$3:$F$3,0)),"?"))</f>
        <v/>
      </c>
      <c r="S64" s="11">
        <f>IF(OR(L64="",M64=""),"",IFERROR(INDEX('Evaluation table'!$B$4:$F$8,MATCH(TRIM(SUBSTITUTE(L64,"’","'")),'Evaluation table'!$A$4:$A$8,0),MATCH(TRIM(SUBSTITUTE(M64,"’","'")),'Evaluation table'!$B$3:$F$3,0)),"?"))</f>
        <v/>
      </c>
    </row>
    <row r="65">
      <c r="A65" s="2" t="n">
        <v>47</v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1">
        <f>IF(OR(B65="",C65=""),"",IFERROR(INDEX('Evaluation table'!$B$4:$F$8,MATCH(TRIM(SUBSTITUTE(B65,"’","'")),'Evaluation table'!$A$4:$A$8,0),MATCH(TRIM(SUBSTITUTE(C65,"’","'")),'Evaluation table'!$B$3:$F$3,0)),"?"))</f>
        <v/>
      </c>
      <c r="O65" s="11">
        <f>IF(OR(D65="",E65=""),"",IFERROR(INDEX('Evaluation table'!$B$4:$F$8,MATCH(TRIM(SUBSTITUTE(D65,"’","'")),'Evaluation table'!$A$4:$A$8,0),MATCH(TRIM(SUBSTITUTE(E65,"’","'")),'Evaluation table'!$B$3:$F$3,0)),"?"))</f>
        <v/>
      </c>
      <c r="P65" s="11">
        <f>IF(OR(F65="",G65=""),"",IFERROR(INDEX('Evaluation table'!$B$4:$F$8,MATCH(TRIM(SUBSTITUTE(F65,"’","'")),'Evaluation table'!$A$4:$A$8,0),MATCH(TRIM(SUBSTITUTE(G65,"’","'")),'Evaluation table'!$B$3:$F$3,0)),"?"))</f>
        <v/>
      </c>
      <c r="Q65" s="11">
        <f>IF(OR(H65="",I65=""),"",IFERROR(INDEX('Evaluation table'!$B$4:$F$8,MATCH(TRIM(SUBSTITUTE(H65,"’","'")),'Evaluation table'!$A$4:$A$8,0),MATCH(TRIM(SUBSTITUTE(I65,"’","'")),'Evaluation table'!$B$3:$F$3,0)),"?"))</f>
        <v/>
      </c>
      <c r="R65" s="11">
        <f>IF(OR(J65="",K65=""),"",IFERROR(INDEX('Evaluation table'!$B$4:$F$8,MATCH(TRIM(SUBSTITUTE(J65,"’","'")),'Evaluation table'!$A$4:$A$8,0),MATCH(TRIM(SUBSTITUTE(K65,"’","'")),'Evaluation table'!$B$3:$F$3,0)),"?"))</f>
        <v/>
      </c>
      <c r="S65" s="11">
        <f>IF(OR(L65="",M65=""),"",IFERROR(INDEX('Evaluation table'!$B$4:$F$8,MATCH(TRIM(SUBSTITUTE(L65,"’","'")),'Evaluation table'!$A$4:$A$8,0),MATCH(TRIM(SUBSTITUTE(M65,"’","'")),'Evaluation table'!$B$3:$F$3,0)),"?"))</f>
        <v/>
      </c>
    </row>
    <row r="66">
      <c r="A66" s="2" t="n">
        <v>48</v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1">
        <f>IF(OR(B66="",C66=""),"",IFERROR(INDEX('Evaluation table'!$B$4:$F$8,MATCH(TRIM(SUBSTITUTE(B66,"’","'")),'Evaluation table'!$A$4:$A$8,0),MATCH(TRIM(SUBSTITUTE(C66,"’","'")),'Evaluation table'!$B$3:$F$3,0)),"?"))</f>
        <v/>
      </c>
      <c r="O66" s="11">
        <f>IF(OR(D66="",E66=""),"",IFERROR(INDEX('Evaluation table'!$B$4:$F$8,MATCH(TRIM(SUBSTITUTE(D66,"’","'")),'Evaluation table'!$A$4:$A$8,0),MATCH(TRIM(SUBSTITUTE(E66,"’","'")),'Evaluation table'!$B$3:$F$3,0)),"?"))</f>
        <v/>
      </c>
      <c r="P66" s="11">
        <f>IF(OR(F66="",G66=""),"",IFERROR(INDEX('Evaluation table'!$B$4:$F$8,MATCH(TRIM(SUBSTITUTE(F66,"’","'")),'Evaluation table'!$A$4:$A$8,0),MATCH(TRIM(SUBSTITUTE(G66,"’","'")),'Evaluation table'!$B$3:$F$3,0)),"?"))</f>
        <v/>
      </c>
      <c r="Q66" s="11">
        <f>IF(OR(H66="",I66=""),"",IFERROR(INDEX('Evaluation table'!$B$4:$F$8,MATCH(TRIM(SUBSTITUTE(H66,"’","'")),'Evaluation table'!$A$4:$A$8,0),MATCH(TRIM(SUBSTITUTE(I66,"’","'")),'Evaluation table'!$B$3:$F$3,0)),"?"))</f>
        <v/>
      </c>
      <c r="R66" s="11">
        <f>IF(OR(J66="",K66=""),"",IFERROR(INDEX('Evaluation table'!$B$4:$F$8,MATCH(TRIM(SUBSTITUTE(J66,"’","'")),'Evaluation table'!$A$4:$A$8,0),MATCH(TRIM(SUBSTITUTE(K66,"’","'")),'Evaluation table'!$B$3:$F$3,0)),"?"))</f>
        <v/>
      </c>
      <c r="S66" s="11">
        <f>IF(OR(L66="",M66=""),"",IFERROR(INDEX('Evaluation table'!$B$4:$F$8,MATCH(TRIM(SUBSTITUTE(L66,"’","'")),'Evaluation table'!$A$4:$A$8,0),MATCH(TRIM(SUBSTITUTE(M66,"’","'")),'Evaluation table'!$B$3:$F$3,0)),"?"))</f>
        <v/>
      </c>
    </row>
    <row r="67">
      <c r="A67" s="2" t="n">
        <v>49</v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1">
        <f>IF(OR(B67="",C67=""),"",IFERROR(INDEX('Evaluation table'!$B$4:$F$8,MATCH(TRIM(SUBSTITUTE(B67,"’","'")),'Evaluation table'!$A$4:$A$8,0),MATCH(TRIM(SUBSTITUTE(C67,"’","'")),'Evaluation table'!$B$3:$F$3,0)),"?"))</f>
        <v/>
      </c>
      <c r="O67" s="11">
        <f>IF(OR(D67="",E67=""),"",IFERROR(INDEX('Evaluation table'!$B$4:$F$8,MATCH(TRIM(SUBSTITUTE(D67,"’","'")),'Evaluation table'!$A$4:$A$8,0),MATCH(TRIM(SUBSTITUTE(E67,"’","'")),'Evaluation table'!$B$3:$F$3,0)),"?"))</f>
        <v/>
      </c>
      <c r="P67" s="11">
        <f>IF(OR(F67="",G67=""),"",IFERROR(INDEX('Evaluation table'!$B$4:$F$8,MATCH(TRIM(SUBSTITUTE(F67,"’","'")),'Evaluation table'!$A$4:$A$8,0),MATCH(TRIM(SUBSTITUTE(G67,"’","'")),'Evaluation table'!$B$3:$F$3,0)),"?"))</f>
        <v/>
      </c>
      <c r="Q67" s="11">
        <f>IF(OR(H67="",I67=""),"",IFERROR(INDEX('Evaluation table'!$B$4:$F$8,MATCH(TRIM(SUBSTITUTE(H67,"’","'")),'Evaluation table'!$A$4:$A$8,0),MATCH(TRIM(SUBSTITUTE(I67,"’","'")),'Evaluation table'!$B$3:$F$3,0)),"?"))</f>
        <v/>
      </c>
      <c r="R67" s="11">
        <f>IF(OR(J67="",K67=""),"",IFERROR(INDEX('Evaluation table'!$B$4:$F$8,MATCH(TRIM(SUBSTITUTE(J67,"’","'")),'Evaluation table'!$A$4:$A$8,0),MATCH(TRIM(SUBSTITUTE(K67,"’","'")),'Evaluation table'!$B$3:$F$3,0)),"?"))</f>
        <v/>
      </c>
      <c r="S67" s="11">
        <f>IF(OR(L67="",M67=""),"",IFERROR(INDEX('Evaluation table'!$B$4:$F$8,MATCH(TRIM(SUBSTITUTE(L67,"’","'")),'Evaluation table'!$A$4:$A$8,0),MATCH(TRIM(SUBSTITUTE(M67,"’","'")),'Evaluation table'!$B$3:$F$3,0)),"?"))</f>
        <v/>
      </c>
    </row>
    <row r="68">
      <c r="A68" s="2" t="n">
        <v>50</v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1">
        <f>IF(OR(B68="",C68=""),"",IFERROR(INDEX('Evaluation table'!$B$4:$F$8,MATCH(TRIM(SUBSTITUTE(B68,"’","'")),'Evaluation table'!$A$4:$A$8,0),MATCH(TRIM(SUBSTITUTE(C68,"’","'")),'Evaluation table'!$B$3:$F$3,0)),"?"))</f>
        <v/>
      </c>
      <c r="O68" s="11">
        <f>IF(OR(D68="",E68=""),"",IFERROR(INDEX('Evaluation table'!$B$4:$F$8,MATCH(TRIM(SUBSTITUTE(D68,"’","'")),'Evaluation table'!$A$4:$A$8,0),MATCH(TRIM(SUBSTITUTE(E68,"’","'")),'Evaluation table'!$B$3:$F$3,0)),"?"))</f>
        <v/>
      </c>
      <c r="P68" s="11">
        <f>IF(OR(F68="",G68=""),"",IFERROR(INDEX('Evaluation table'!$B$4:$F$8,MATCH(TRIM(SUBSTITUTE(F68,"’","'")),'Evaluation table'!$A$4:$A$8,0),MATCH(TRIM(SUBSTITUTE(G68,"’","'")),'Evaluation table'!$B$3:$F$3,0)),"?"))</f>
        <v/>
      </c>
      <c r="Q68" s="11">
        <f>IF(OR(H68="",I68=""),"",IFERROR(INDEX('Evaluation table'!$B$4:$F$8,MATCH(TRIM(SUBSTITUTE(H68,"’","'")),'Evaluation table'!$A$4:$A$8,0),MATCH(TRIM(SUBSTITUTE(I68,"’","'")),'Evaluation table'!$B$3:$F$3,0)),"?"))</f>
        <v/>
      </c>
      <c r="R68" s="11">
        <f>IF(OR(J68="",K68=""),"",IFERROR(INDEX('Evaluation table'!$B$4:$F$8,MATCH(TRIM(SUBSTITUTE(J68,"’","'")),'Evaluation table'!$A$4:$A$8,0),MATCH(TRIM(SUBSTITUTE(K68,"’","'")),'Evaluation table'!$B$3:$F$3,0)),"?"))</f>
        <v/>
      </c>
      <c r="S68" s="11">
        <f>IF(OR(L68="",M68=""),"",IFERROR(INDEX('Evaluation table'!$B$4:$F$8,MATCH(TRIM(SUBSTITUTE(L68,"’","'")),'Evaluation table'!$A$4:$A$8,0),MATCH(TRIM(SUBSTITUTE(M68,"’","'")),'Evaluation table'!$B$3:$F$3,0)),"?"))</f>
        <v/>
      </c>
    </row>
    <row r="69">
      <c r="A69" s="2" t="n">
        <v>51</v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1">
        <f>IF(OR(B69="",C69=""),"",IFERROR(INDEX('Evaluation table'!$B$4:$F$8,MATCH(TRIM(SUBSTITUTE(B69,"’","'")),'Evaluation table'!$A$4:$A$8,0),MATCH(TRIM(SUBSTITUTE(C69,"’","'")),'Evaluation table'!$B$3:$F$3,0)),"?"))</f>
        <v/>
      </c>
      <c r="O69" s="11">
        <f>IF(OR(D69="",E69=""),"",IFERROR(INDEX('Evaluation table'!$B$4:$F$8,MATCH(TRIM(SUBSTITUTE(D69,"’","'")),'Evaluation table'!$A$4:$A$8,0),MATCH(TRIM(SUBSTITUTE(E69,"’","'")),'Evaluation table'!$B$3:$F$3,0)),"?"))</f>
        <v/>
      </c>
      <c r="P69" s="11">
        <f>IF(OR(F69="",G69=""),"",IFERROR(INDEX('Evaluation table'!$B$4:$F$8,MATCH(TRIM(SUBSTITUTE(F69,"’","'")),'Evaluation table'!$A$4:$A$8,0),MATCH(TRIM(SUBSTITUTE(G69,"’","'")),'Evaluation table'!$B$3:$F$3,0)),"?"))</f>
        <v/>
      </c>
      <c r="Q69" s="11">
        <f>IF(OR(H69="",I69=""),"",IFERROR(INDEX('Evaluation table'!$B$4:$F$8,MATCH(TRIM(SUBSTITUTE(H69,"’","'")),'Evaluation table'!$A$4:$A$8,0),MATCH(TRIM(SUBSTITUTE(I69,"’","'")),'Evaluation table'!$B$3:$F$3,0)),"?"))</f>
        <v/>
      </c>
      <c r="R69" s="11">
        <f>IF(OR(J69="",K69=""),"",IFERROR(INDEX('Evaluation table'!$B$4:$F$8,MATCH(TRIM(SUBSTITUTE(J69,"’","'")),'Evaluation table'!$A$4:$A$8,0),MATCH(TRIM(SUBSTITUTE(K69,"’","'")),'Evaluation table'!$B$3:$F$3,0)),"?"))</f>
        <v/>
      </c>
      <c r="S69" s="11">
        <f>IF(OR(L69="",M69=""),"",IFERROR(INDEX('Evaluation table'!$B$4:$F$8,MATCH(TRIM(SUBSTITUTE(L69,"’","'")),'Evaluation table'!$A$4:$A$8,0),MATCH(TRIM(SUBSTITUTE(M69,"’","'")),'Evaluation table'!$B$3:$F$3,0)),"?"))</f>
        <v/>
      </c>
    </row>
    <row r="70">
      <c r="A70" s="2" t="n">
        <v>52</v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1">
        <f>IF(OR(B70="",C70=""),"",IFERROR(INDEX('Evaluation table'!$B$4:$F$8,MATCH(TRIM(SUBSTITUTE(B70,"’","'")),'Evaluation table'!$A$4:$A$8,0),MATCH(TRIM(SUBSTITUTE(C70,"’","'")),'Evaluation table'!$B$3:$F$3,0)),"?"))</f>
        <v/>
      </c>
      <c r="O70" s="11">
        <f>IF(OR(D70="",E70=""),"",IFERROR(INDEX('Evaluation table'!$B$4:$F$8,MATCH(TRIM(SUBSTITUTE(D70,"’","'")),'Evaluation table'!$A$4:$A$8,0),MATCH(TRIM(SUBSTITUTE(E70,"’","'")),'Evaluation table'!$B$3:$F$3,0)),"?"))</f>
        <v/>
      </c>
      <c r="P70" s="11">
        <f>IF(OR(F70="",G70=""),"",IFERROR(INDEX('Evaluation table'!$B$4:$F$8,MATCH(TRIM(SUBSTITUTE(F70,"’","'")),'Evaluation table'!$A$4:$A$8,0),MATCH(TRIM(SUBSTITUTE(G70,"’","'")),'Evaluation table'!$B$3:$F$3,0)),"?"))</f>
        <v/>
      </c>
      <c r="Q70" s="11">
        <f>IF(OR(H70="",I70=""),"",IFERROR(INDEX('Evaluation table'!$B$4:$F$8,MATCH(TRIM(SUBSTITUTE(H70,"’","'")),'Evaluation table'!$A$4:$A$8,0),MATCH(TRIM(SUBSTITUTE(I70,"’","'")),'Evaluation table'!$B$3:$F$3,0)),"?"))</f>
        <v/>
      </c>
      <c r="R70" s="11">
        <f>IF(OR(J70="",K70=""),"",IFERROR(INDEX('Evaluation table'!$B$4:$F$8,MATCH(TRIM(SUBSTITUTE(J70,"’","'")),'Evaluation table'!$A$4:$A$8,0),MATCH(TRIM(SUBSTITUTE(K70,"’","'")),'Evaluation table'!$B$3:$F$3,0)),"?"))</f>
        <v/>
      </c>
      <c r="S70" s="11">
        <f>IF(OR(L70="",M70=""),"",IFERROR(INDEX('Evaluation table'!$B$4:$F$8,MATCH(TRIM(SUBSTITUTE(L70,"’","'")),'Evaluation table'!$A$4:$A$8,0),MATCH(TRIM(SUBSTITUTE(M70,"’","'")),'Evaluation table'!$B$3:$F$3,0)),"?"))</f>
        <v/>
      </c>
    </row>
    <row r="71">
      <c r="A71" s="2" t="n">
        <v>53</v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1">
        <f>IF(OR(B71="",C71=""),"",IFERROR(INDEX('Evaluation table'!$B$4:$F$8,MATCH(TRIM(SUBSTITUTE(B71,"’","'")),'Evaluation table'!$A$4:$A$8,0),MATCH(TRIM(SUBSTITUTE(C71,"’","'")),'Evaluation table'!$B$3:$F$3,0)),"?"))</f>
        <v/>
      </c>
      <c r="O71" s="11">
        <f>IF(OR(D71="",E71=""),"",IFERROR(INDEX('Evaluation table'!$B$4:$F$8,MATCH(TRIM(SUBSTITUTE(D71,"’","'")),'Evaluation table'!$A$4:$A$8,0),MATCH(TRIM(SUBSTITUTE(E71,"’","'")),'Evaluation table'!$B$3:$F$3,0)),"?"))</f>
        <v/>
      </c>
      <c r="P71" s="11">
        <f>IF(OR(F71="",G71=""),"",IFERROR(INDEX('Evaluation table'!$B$4:$F$8,MATCH(TRIM(SUBSTITUTE(F71,"’","'")),'Evaluation table'!$A$4:$A$8,0),MATCH(TRIM(SUBSTITUTE(G71,"’","'")),'Evaluation table'!$B$3:$F$3,0)),"?"))</f>
        <v/>
      </c>
      <c r="Q71" s="11">
        <f>IF(OR(H71="",I71=""),"",IFERROR(INDEX('Evaluation table'!$B$4:$F$8,MATCH(TRIM(SUBSTITUTE(H71,"’","'")),'Evaluation table'!$A$4:$A$8,0),MATCH(TRIM(SUBSTITUTE(I71,"’","'")),'Evaluation table'!$B$3:$F$3,0)),"?"))</f>
        <v/>
      </c>
      <c r="R71" s="11">
        <f>IF(OR(J71="",K71=""),"",IFERROR(INDEX('Evaluation table'!$B$4:$F$8,MATCH(TRIM(SUBSTITUTE(J71,"’","'")),'Evaluation table'!$A$4:$A$8,0),MATCH(TRIM(SUBSTITUTE(K71,"’","'")),'Evaluation table'!$B$3:$F$3,0)),"?"))</f>
        <v/>
      </c>
      <c r="S71" s="11">
        <f>IF(OR(L71="",M71=""),"",IFERROR(INDEX('Evaluation table'!$B$4:$F$8,MATCH(TRIM(SUBSTITUTE(L71,"’","'")),'Evaluation table'!$A$4:$A$8,0),MATCH(TRIM(SUBSTITUTE(M71,"’","'")),'Evaluation table'!$B$3:$F$3,0)),"?"))</f>
        <v/>
      </c>
    </row>
    <row r="72">
      <c r="A72" s="2" t="n">
        <v>54</v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1">
        <f>IF(OR(B72="",C72=""),"",IFERROR(INDEX('Evaluation table'!$B$4:$F$8,MATCH(TRIM(SUBSTITUTE(B72,"’","'")),'Evaluation table'!$A$4:$A$8,0),MATCH(TRIM(SUBSTITUTE(C72,"’","'")),'Evaluation table'!$B$3:$F$3,0)),"?"))</f>
        <v/>
      </c>
      <c r="O72" s="11">
        <f>IF(OR(D72="",E72=""),"",IFERROR(INDEX('Evaluation table'!$B$4:$F$8,MATCH(TRIM(SUBSTITUTE(D72,"’","'")),'Evaluation table'!$A$4:$A$8,0),MATCH(TRIM(SUBSTITUTE(E72,"’","'")),'Evaluation table'!$B$3:$F$3,0)),"?"))</f>
        <v/>
      </c>
      <c r="P72" s="11">
        <f>IF(OR(F72="",G72=""),"",IFERROR(INDEX('Evaluation table'!$B$4:$F$8,MATCH(TRIM(SUBSTITUTE(F72,"’","'")),'Evaluation table'!$A$4:$A$8,0),MATCH(TRIM(SUBSTITUTE(G72,"’","'")),'Evaluation table'!$B$3:$F$3,0)),"?"))</f>
        <v/>
      </c>
      <c r="Q72" s="11">
        <f>IF(OR(H72="",I72=""),"",IFERROR(INDEX('Evaluation table'!$B$4:$F$8,MATCH(TRIM(SUBSTITUTE(H72,"’","'")),'Evaluation table'!$A$4:$A$8,0),MATCH(TRIM(SUBSTITUTE(I72,"’","'")),'Evaluation table'!$B$3:$F$3,0)),"?"))</f>
        <v/>
      </c>
      <c r="R72" s="11">
        <f>IF(OR(J72="",K72=""),"",IFERROR(INDEX('Evaluation table'!$B$4:$F$8,MATCH(TRIM(SUBSTITUTE(J72,"’","'")),'Evaluation table'!$A$4:$A$8,0),MATCH(TRIM(SUBSTITUTE(K72,"’","'")),'Evaluation table'!$B$3:$F$3,0)),"?"))</f>
        <v/>
      </c>
      <c r="S72" s="11">
        <f>IF(OR(L72="",M72=""),"",IFERROR(INDEX('Evaluation table'!$B$4:$F$8,MATCH(TRIM(SUBSTITUTE(L72,"’","'")),'Evaluation table'!$A$4:$A$8,0),MATCH(TRIM(SUBSTITUTE(M72,"’","'")),'Evaluation table'!$B$3:$F$3,0)),"?"))</f>
        <v/>
      </c>
    </row>
    <row r="73">
      <c r="A73" s="2" t="n">
        <v>55</v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1">
        <f>IF(OR(B73="",C73=""),"",IFERROR(INDEX('Evaluation table'!$B$4:$F$8,MATCH(TRIM(SUBSTITUTE(B73,"’","'")),'Evaluation table'!$A$4:$A$8,0),MATCH(TRIM(SUBSTITUTE(C73,"’","'")),'Evaluation table'!$B$3:$F$3,0)),"?"))</f>
        <v/>
      </c>
      <c r="O73" s="11">
        <f>IF(OR(D73="",E73=""),"",IFERROR(INDEX('Evaluation table'!$B$4:$F$8,MATCH(TRIM(SUBSTITUTE(D73,"’","'")),'Evaluation table'!$A$4:$A$8,0),MATCH(TRIM(SUBSTITUTE(E73,"’","'")),'Evaluation table'!$B$3:$F$3,0)),"?"))</f>
        <v/>
      </c>
      <c r="P73" s="11">
        <f>IF(OR(F73="",G73=""),"",IFERROR(INDEX('Evaluation table'!$B$4:$F$8,MATCH(TRIM(SUBSTITUTE(F73,"’","'")),'Evaluation table'!$A$4:$A$8,0),MATCH(TRIM(SUBSTITUTE(G73,"’","'")),'Evaluation table'!$B$3:$F$3,0)),"?"))</f>
        <v/>
      </c>
      <c r="Q73" s="11">
        <f>IF(OR(H73="",I73=""),"",IFERROR(INDEX('Evaluation table'!$B$4:$F$8,MATCH(TRIM(SUBSTITUTE(H73,"’","'")),'Evaluation table'!$A$4:$A$8,0),MATCH(TRIM(SUBSTITUTE(I73,"’","'")),'Evaluation table'!$B$3:$F$3,0)),"?"))</f>
        <v/>
      </c>
      <c r="R73" s="11">
        <f>IF(OR(J73="",K73=""),"",IFERROR(INDEX('Evaluation table'!$B$4:$F$8,MATCH(TRIM(SUBSTITUTE(J73,"’","'")),'Evaluation table'!$A$4:$A$8,0),MATCH(TRIM(SUBSTITUTE(K73,"’","'")),'Evaluation table'!$B$3:$F$3,0)),"?"))</f>
        <v/>
      </c>
      <c r="S73" s="11">
        <f>IF(OR(L73="",M73=""),"",IFERROR(INDEX('Evaluation table'!$B$4:$F$8,MATCH(TRIM(SUBSTITUTE(L73,"’","'")),'Evaluation table'!$A$4:$A$8,0),MATCH(TRIM(SUBSTITUTE(M73,"’","'")),'Evaluation table'!$B$3:$F$3,0)),"?"))</f>
        <v/>
      </c>
    </row>
    <row r="74">
      <c r="A74" s="2" t="n">
        <v>56</v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1">
        <f>IF(OR(B74="",C74=""),"",IFERROR(INDEX('Evaluation table'!$B$4:$F$8,MATCH(TRIM(SUBSTITUTE(B74,"’","'")),'Evaluation table'!$A$4:$A$8,0),MATCH(TRIM(SUBSTITUTE(C74,"’","'")),'Evaluation table'!$B$3:$F$3,0)),"?"))</f>
        <v/>
      </c>
      <c r="O74" s="11">
        <f>IF(OR(D74="",E74=""),"",IFERROR(INDEX('Evaluation table'!$B$4:$F$8,MATCH(TRIM(SUBSTITUTE(D74,"’","'")),'Evaluation table'!$A$4:$A$8,0),MATCH(TRIM(SUBSTITUTE(E74,"’","'")),'Evaluation table'!$B$3:$F$3,0)),"?"))</f>
        <v/>
      </c>
      <c r="P74" s="11">
        <f>IF(OR(F74="",G74=""),"",IFERROR(INDEX('Evaluation table'!$B$4:$F$8,MATCH(TRIM(SUBSTITUTE(F74,"’","'")),'Evaluation table'!$A$4:$A$8,0),MATCH(TRIM(SUBSTITUTE(G74,"’","'")),'Evaluation table'!$B$3:$F$3,0)),"?"))</f>
        <v/>
      </c>
      <c r="Q74" s="11">
        <f>IF(OR(H74="",I74=""),"",IFERROR(INDEX('Evaluation table'!$B$4:$F$8,MATCH(TRIM(SUBSTITUTE(H74,"’","'")),'Evaluation table'!$A$4:$A$8,0),MATCH(TRIM(SUBSTITUTE(I74,"’","'")),'Evaluation table'!$B$3:$F$3,0)),"?"))</f>
        <v/>
      </c>
      <c r="R74" s="11">
        <f>IF(OR(J74="",K74=""),"",IFERROR(INDEX('Evaluation table'!$B$4:$F$8,MATCH(TRIM(SUBSTITUTE(J74,"’","'")),'Evaluation table'!$A$4:$A$8,0),MATCH(TRIM(SUBSTITUTE(K74,"’","'")),'Evaluation table'!$B$3:$F$3,0)),"?"))</f>
        <v/>
      </c>
      <c r="S74" s="11">
        <f>IF(OR(L74="",M74=""),"",IFERROR(INDEX('Evaluation table'!$B$4:$F$8,MATCH(TRIM(SUBSTITUTE(L74,"’","'")),'Evaluation table'!$A$4:$A$8,0),MATCH(TRIM(SUBSTITUTE(M74,"’","'")),'Evaluation table'!$B$3:$F$3,0)),"?"))</f>
        <v/>
      </c>
    </row>
    <row r="75">
      <c r="A75" s="2" t="n">
        <v>57</v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1">
        <f>IF(OR(B75="",C75=""),"",IFERROR(INDEX('Evaluation table'!$B$4:$F$8,MATCH(TRIM(SUBSTITUTE(B75,"’","'")),'Evaluation table'!$A$4:$A$8,0),MATCH(TRIM(SUBSTITUTE(C75,"’","'")),'Evaluation table'!$B$3:$F$3,0)),"?"))</f>
        <v/>
      </c>
      <c r="O75" s="11">
        <f>IF(OR(D75="",E75=""),"",IFERROR(INDEX('Evaluation table'!$B$4:$F$8,MATCH(TRIM(SUBSTITUTE(D75,"’","'")),'Evaluation table'!$A$4:$A$8,0),MATCH(TRIM(SUBSTITUTE(E75,"’","'")),'Evaluation table'!$B$3:$F$3,0)),"?"))</f>
        <v/>
      </c>
      <c r="P75" s="11">
        <f>IF(OR(F75="",G75=""),"",IFERROR(INDEX('Evaluation table'!$B$4:$F$8,MATCH(TRIM(SUBSTITUTE(F75,"’","'")),'Evaluation table'!$A$4:$A$8,0),MATCH(TRIM(SUBSTITUTE(G75,"’","'")),'Evaluation table'!$B$3:$F$3,0)),"?"))</f>
        <v/>
      </c>
      <c r="Q75" s="11">
        <f>IF(OR(H75="",I75=""),"",IFERROR(INDEX('Evaluation table'!$B$4:$F$8,MATCH(TRIM(SUBSTITUTE(H75,"’","'")),'Evaluation table'!$A$4:$A$8,0),MATCH(TRIM(SUBSTITUTE(I75,"’","'")),'Evaluation table'!$B$3:$F$3,0)),"?"))</f>
        <v/>
      </c>
      <c r="R75" s="11">
        <f>IF(OR(J75="",K75=""),"",IFERROR(INDEX('Evaluation table'!$B$4:$F$8,MATCH(TRIM(SUBSTITUTE(J75,"’","'")),'Evaluation table'!$A$4:$A$8,0),MATCH(TRIM(SUBSTITUTE(K75,"’","'")),'Evaluation table'!$B$3:$F$3,0)),"?"))</f>
        <v/>
      </c>
      <c r="S75" s="11">
        <f>IF(OR(L75="",M75=""),"",IFERROR(INDEX('Evaluation table'!$B$4:$F$8,MATCH(TRIM(SUBSTITUTE(L75,"’","'")),'Evaluation table'!$A$4:$A$8,0),MATCH(TRIM(SUBSTITUTE(M75,"’","'")),'Evaluation table'!$B$3:$F$3,0)),"?"))</f>
        <v/>
      </c>
    </row>
    <row r="76">
      <c r="A76" s="2" t="n">
        <v>58</v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1">
        <f>IF(OR(B76="",C76=""),"",IFERROR(INDEX('Evaluation table'!$B$4:$F$8,MATCH(TRIM(SUBSTITUTE(B76,"’","'")),'Evaluation table'!$A$4:$A$8,0),MATCH(TRIM(SUBSTITUTE(C76,"’","'")),'Evaluation table'!$B$3:$F$3,0)),"?"))</f>
        <v/>
      </c>
      <c r="O76" s="11">
        <f>IF(OR(D76="",E76=""),"",IFERROR(INDEX('Evaluation table'!$B$4:$F$8,MATCH(TRIM(SUBSTITUTE(D76,"’","'")),'Evaluation table'!$A$4:$A$8,0),MATCH(TRIM(SUBSTITUTE(E76,"’","'")),'Evaluation table'!$B$3:$F$3,0)),"?"))</f>
        <v/>
      </c>
      <c r="P76" s="11">
        <f>IF(OR(F76="",G76=""),"",IFERROR(INDEX('Evaluation table'!$B$4:$F$8,MATCH(TRIM(SUBSTITUTE(F76,"’","'")),'Evaluation table'!$A$4:$A$8,0),MATCH(TRIM(SUBSTITUTE(G76,"’","'")),'Evaluation table'!$B$3:$F$3,0)),"?"))</f>
        <v/>
      </c>
      <c r="Q76" s="11">
        <f>IF(OR(H76="",I76=""),"",IFERROR(INDEX('Evaluation table'!$B$4:$F$8,MATCH(TRIM(SUBSTITUTE(H76,"’","'")),'Evaluation table'!$A$4:$A$8,0),MATCH(TRIM(SUBSTITUTE(I76,"’","'")),'Evaluation table'!$B$3:$F$3,0)),"?"))</f>
        <v/>
      </c>
      <c r="R76" s="11">
        <f>IF(OR(J76="",K76=""),"",IFERROR(INDEX('Evaluation table'!$B$4:$F$8,MATCH(TRIM(SUBSTITUTE(J76,"’","'")),'Evaluation table'!$A$4:$A$8,0),MATCH(TRIM(SUBSTITUTE(K76,"’","'")),'Evaluation table'!$B$3:$F$3,0)),"?"))</f>
        <v/>
      </c>
      <c r="S76" s="11">
        <f>IF(OR(L76="",M76=""),"",IFERROR(INDEX('Evaluation table'!$B$4:$F$8,MATCH(TRIM(SUBSTITUTE(L76,"’","'")),'Evaluation table'!$A$4:$A$8,0),MATCH(TRIM(SUBSTITUTE(M76,"’","'")),'Evaluation table'!$B$3:$F$3,0)),"?"))</f>
        <v/>
      </c>
    </row>
    <row r="77">
      <c r="A77" s="2" t="n">
        <v>59</v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1">
        <f>IF(OR(B77="",C77=""),"",IFERROR(INDEX('Evaluation table'!$B$4:$F$8,MATCH(TRIM(SUBSTITUTE(B77,"’","'")),'Evaluation table'!$A$4:$A$8,0),MATCH(TRIM(SUBSTITUTE(C77,"’","'")),'Evaluation table'!$B$3:$F$3,0)),"?"))</f>
        <v/>
      </c>
      <c r="O77" s="11">
        <f>IF(OR(D77="",E77=""),"",IFERROR(INDEX('Evaluation table'!$B$4:$F$8,MATCH(TRIM(SUBSTITUTE(D77,"’","'")),'Evaluation table'!$A$4:$A$8,0),MATCH(TRIM(SUBSTITUTE(E77,"’","'")),'Evaluation table'!$B$3:$F$3,0)),"?"))</f>
        <v/>
      </c>
      <c r="P77" s="11">
        <f>IF(OR(F77="",G77=""),"",IFERROR(INDEX('Evaluation table'!$B$4:$F$8,MATCH(TRIM(SUBSTITUTE(F77,"’","'")),'Evaluation table'!$A$4:$A$8,0),MATCH(TRIM(SUBSTITUTE(G77,"’","'")),'Evaluation table'!$B$3:$F$3,0)),"?"))</f>
        <v/>
      </c>
      <c r="Q77" s="11">
        <f>IF(OR(H77="",I77=""),"",IFERROR(INDEX('Evaluation table'!$B$4:$F$8,MATCH(TRIM(SUBSTITUTE(H77,"’","'")),'Evaluation table'!$A$4:$A$8,0),MATCH(TRIM(SUBSTITUTE(I77,"’","'")),'Evaluation table'!$B$3:$F$3,0)),"?"))</f>
        <v/>
      </c>
      <c r="R77" s="11">
        <f>IF(OR(J77="",K77=""),"",IFERROR(INDEX('Evaluation table'!$B$4:$F$8,MATCH(TRIM(SUBSTITUTE(J77,"’","'")),'Evaluation table'!$A$4:$A$8,0),MATCH(TRIM(SUBSTITUTE(K77,"’","'")),'Evaluation table'!$B$3:$F$3,0)),"?"))</f>
        <v/>
      </c>
      <c r="S77" s="11">
        <f>IF(OR(L77="",M77=""),"",IFERROR(INDEX('Evaluation table'!$B$4:$F$8,MATCH(TRIM(SUBSTITUTE(L77,"’","'")),'Evaluation table'!$A$4:$A$8,0),MATCH(TRIM(SUBSTITUTE(M77,"’","'")),'Evaluation table'!$B$3:$F$3,0)),"?"))</f>
        <v/>
      </c>
    </row>
    <row r="78">
      <c r="A78" s="2" t="n">
        <v>60</v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1">
        <f>IF(OR(B78="",C78=""),"",IFERROR(INDEX('Evaluation table'!$B$4:$F$8,MATCH(TRIM(SUBSTITUTE(B78,"’","'")),'Evaluation table'!$A$4:$A$8,0),MATCH(TRIM(SUBSTITUTE(C78,"’","'")),'Evaluation table'!$B$3:$F$3,0)),"?"))</f>
        <v/>
      </c>
      <c r="O78" s="11">
        <f>IF(OR(D78="",E78=""),"",IFERROR(INDEX('Evaluation table'!$B$4:$F$8,MATCH(TRIM(SUBSTITUTE(D78,"’","'")),'Evaluation table'!$A$4:$A$8,0),MATCH(TRIM(SUBSTITUTE(E78,"’","'")),'Evaluation table'!$B$3:$F$3,0)),"?"))</f>
        <v/>
      </c>
      <c r="P78" s="11">
        <f>IF(OR(F78="",G78=""),"",IFERROR(INDEX('Evaluation table'!$B$4:$F$8,MATCH(TRIM(SUBSTITUTE(F78,"’","'")),'Evaluation table'!$A$4:$A$8,0),MATCH(TRIM(SUBSTITUTE(G78,"’","'")),'Evaluation table'!$B$3:$F$3,0)),"?"))</f>
        <v/>
      </c>
      <c r="Q78" s="11">
        <f>IF(OR(H78="",I78=""),"",IFERROR(INDEX('Evaluation table'!$B$4:$F$8,MATCH(TRIM(SUBSTITUTE(H78,"’","'")),'Evaluation table'!$A$4:$A$8,0),MATCH(TRIM(SUBSTITUTE(I78,"’","'")),'Evaluation table'!$B$3:$F$3,0)),"?"))</f>
        <v/>
      </c>
      <c r="R78" s="11">
        <f>IF(OR(J78="",K78=""),"",IFERROR(INDEX('Evaluation table'!$B$4:$F$8,MATCH(TRIM(SUBSTITUTE(J78,"’","'")),'Evaluation table'!$A$4:$A$8,0),MATCH(TRIM(SUBSTITUTE(K78,"’","'")),'Evaluation table'!$B$3:$F$3,0)),"?"))</f>
        <v/>
      </c>
      <c r="S78" s="11">
        <f>IF(OR(L78="",M78=""),"",IFERROR(INDEX('Evaluation table'!$B$4:$F$8,MATCH(TRIM(SUBSTITUTE(L78,"’","'")),'Evaluation table'!$A$4:$A$8,0),MATCH(TRIM(SUBSTITUTE(M78,"’","'")),'Evaluation table'!$B$3:$F$3,0)),"?"))</f>
        <v/>
      </c>
    </row>
    <row r="79">
      <c r="A79" s="2" t="n">
        <v>61</v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1">
        <f>IF(OR(B79="",C79=""),"",IFERROR(INDEX('Evaluation table'!$B$4:$F$8,MATCH(TRIM(SUBSTITUTE(B79,"’","'")),'Evaluation table'!$A$4:$A$8,0),MATCH(TRIM(SUBSTITUTE(C79,"’","'")),'Evaluation table'!$B$3:$F$3,0)),"?"))</f>
        <v/>
      </c>
      <c r="O79" s="11">
        <f>IF(OR(D79="",E79=""),"",IFERROR(INDEX('Evaluation table'!$B$4:$F$8,MATCH(TRIM(SUBSTITUTE(D79,"’","'")),'Evaluation table'!$A$4:$A$8,0),MATCH(TRIM(SUBSTITUTE(E79,"’","'")),'Evaluation table'!$B$3:$F$3,0)),"?"))</f>
        <v/>
      </c>
      <c r="P79" s="11">
        <f>IF(OR(F79="",G79=""),"",IFERROR(INDEX('Evaluation table'!$B$4:$F$8,MATCH(TRIM(SUBSTITUTE(F79,"’","'")),'Evaluation table'!$A$4:$A$8,0),MATCH(TRIM(SUBSTITUTE(G79,"’","'")),'Evaluation table'!$B$3:$F$3,0)),"?"))</f>
        <v/>
      </c>
      <c r="Q79" s="11">
        <f>IF(OR(H79="",I79=""),"",IFERROR(INDEX('Evaluation table'!$B$4:$F$8,MATCH(TRIM(SUBSTITUTE(H79,"’","'")),'Evaluation table'!$A$4:$A$8,0),MATCH(TRIM(SUBSTITUTE(I79,"’","'")),'Evaluation table'!$B$3:$F$3,0)),"?"))</f>
        <v/>
      </c>
      <c r="R79" s="11">
        <f>IF(OR(J79="",K79=""),"",IFERROR(INDEX('Evaluation table'!$B$4:$F$8,MATCH(TRIM(SUBSTITUTE(J79,"’","'")),'Evaluation table'!$A$4:$A$8,0),MATCH(TRIM(SUBSTITUTE(K79,"’","'")),'Evaluation table'!$B$3:$F$3,0)),"?"))</f>
        <v/>
      </c>
      <c r="S79" s="11">
        <f>IF(OR(L79="",M79=""),"",IFERROR(INDEX('Evaluation table'!$B$4:$F$8,MATCH(TRIM(SUBSTITUTE(L79,"’","'")),'Evaluation table'!$A$4:$A$8,0),MATCH(TRIM(SUBSTITUTE(M79,"’","'")),'Evaluation table'!$B$3:$F$3,0)),"?"))</f>
        <v/>
      </c>
    </row>
    <row r="80">
      <c r="A80" s="2" t="n">
        <v>62</v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1">
        <f>IF(OR(B80="",C80=""),"",IFERROR(INDEX('Evaluation table'!$B$4:$F$8,MATCH(TRIM(SUBSTITUTE(B80,"’","'")),'Evaluation table'!$A$4:$A$8,0),MATCH(TRIM(SUBSTITUTE(C80,"’","'")),'Evaluation table'!$B$3:$F$3,0)),"?"))</f>
        <v/>
      </c>
      <c r="O80" s="11">
        <f>IF(OR(D80="",E80=""),"",IFERROR(INDEX('Evaluation table'!$B$4:$F$8,MATCH(TRIM(SUBSTITUTE(D80,"’","'")),'Evaluation table'!$A$4:$A$8,0),MATCH(TRIM(SUBSTITUTE(E80,"’","'")),'Evaluation table'!$B$3:$F$3,0)),"?"))</f>
        <v/>
      </c>
      <c r="P80" s="11">
        <f>IF(OR(F80="",G80=""),"",IFERROR(INDEX('Evaluation table'!$B$4:$F$8,MATCH(TRIM(SUBSTITUTE(F80,"’","'")),'Evaluation table'!$A$4:$A$8,0),MATCH(TRIM(SUBSTITUTE(G80,"’","'")),'Evaluation table'!$B$3:$F$3,0)),"?"))</f>
        <v/>
      </c>
      <c r="Q80" s="11">
        <f>IF(OR(H80="",I80=""),"",IFERROR(INDEX('Evaluation table'!$B$4:$F$8,MATCH(TRIM(SUBSTITUTE(H80,"’","'")),'Evaluation table'!$A$4:$A$8,0),MATCH(TRIM(SUBSTITUTE(I80,"’","'")),'Evaluation table'!$B$3:$F$3,0)),"?"))</f>
        <v/>
      </c>
      <c r="R80" s="11">
        <f>IF(OR(J80="",K80=""),"",IFERROR(INDEX('Evaluation table'!$B$4:$F$8,MATCH(TRIM(SUBSTITUTE(J80,"’","'")),'Evaluation table'!$A$4:$A$8,0),MATCH(TRIM(SUBSTITUTE(K80,"’","'")),'Evaluation table'!$B$3:$F$3,0)),"?"))</f>
        <v/>
      </c>
      <c r="S80" s="11">
        <f>IF(OR(L80="",M80=""),"",IFERROR(INDEX('Evaluation table'!$B$4:$F$8,MATCH(TRIM(SUBSTITUTE(L80,"’","'")),'Evaluation table'!$A$4:$A$8,0),MATCH(TRIM(SUBSTITUTE(M80,"’","'")),'Evaluation table'!$B$3:$F$3,0)),"?"))</f>
        <v/>
      </c>
    </row>
    <row r="81">
      <c r="A81" s="2" t="n">
        <v>63</v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1">
        <f>IF(OR(B81="",C81=""),"",IFERROR(INDEX('Evaluation table'!$B$4:$F$8,MATCH(TRIM(SUBSTITUTE(B81,"’","'")),'Evaluation table'!$A$4:$A$8,0),MATCH(TRIM(SUBSTITUTE(C81,"’","'")),'Evaluation table'!$B$3:$F$3,0)),"?"))</f>
        <v/>
      </c>
      <c r="O81" s="11">
        <f>IF(OR(D81="",E81=""),"",IFERROR(INDEX('Evaluation table'!$B$4:$F$8,MATCH(TRIM(SUBSTITUTE(D81,"’","'")),'Evaluation table'!$A$4:$A$8,0),MATCH(TRIM(SUBSTITUTE(E81,"’","'")),'Evaluation table'!$B$3:$F$3,0)),"?"))</f>
        <v/>
      </c>
      <c r="P81" s="11">
        <f>IF(OR(F81="",G81=""),"",IFERROR(INDEX('Evaluation table'!$B$4:$F$8,MATCH(TRIM(SUBSTITUTE(F81,"’","'")),'Evaluation table'!$A$4:$A$8,0),MATCH(TRIM(SUBSTITUTE(G81,"’","'")),'Evaluation table'!$B$3:$F$3,0)),"?"))</f>
        <v/>
      </c>
      <c r="Q81" s="11">
        <f>IF(OR(H81="",I81=""),"",IFERROR(INDEX('Evaluation table'!$B$4:$F$8,MATCH(TRIM(SUBSTITUTE(H81,"’","'")),'Evaluation table'!$A$4:$A$8,0),MATCH(TRIM(SUBSTITUTE(I81,"’","'")),'Evaluation table'!$B$3:$F$3,0)),"?"))</f>
        <v/>
      </c>
      <c r="R81" s="11">
        <f>IF(OR(J81="",K81=""),"",IFERROR(INDEX('Evaluation table'!$B$4:$F$8,MATCH(TRIM(SUBSTITUTE(J81,"’","'")),'Evaluation table'!$A$4:$A$8,0),MATCH(TRIM(SUBSTITUTE(K81,"’","'")),'Evaluation table'!$B$3:$F$3,0)),"?"))</f>
        <v/>
      </c>
      <c r="S81" s="11">
        <f>IF(OR(L81="",M81=""),"",IFERROR(INDEX('Evaluation table'!$B$4:$F$8,MATCH(TRIM(SUBSTITUTE(L81,"’","'")),'Evaluation table'!$A$4:$A$8,0),MATCH(TRIM(SUBSTITUTE(M81,"’","'")),'Evaluation table'!$B$3:$F$3,0)),"?"))</f>
        <v/>
      </c>
    </row>
    <row r="82">
      <c r="A82" s="2" t="n">
        <v>64</v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1">
        <f>IF(OR(B82="",C82=""),"",IFERROR(INDEX('Evaluation table'!$B$4:$F$8,MATCH(TRIM(SUBSTITUTE(B82,"’","'")),'Evaluation table'!$A$4:$A$8,0),MATCH(TRIM(SUBSTITUTE(C82,"’","'")),'Evaluation table'!$B$3:$F$3,0)),"?"))</f>
        <v/>
      </c>
      <c r="O82" s="11">
        <f>IF(OR(D82="",E82=""),"",IFERROR(INDEX('Evaluation table'!$B$4:$F$8,MATCH(TRIM(SUBSTITUTE(D82,"’","'")),'Evaluation table'!$A$4:$A$8,0),MATCH(TRIM(SUBSTITUTE(E82,"’","'")),'Evaluation table'!$B$3:$F$3,0)),"?"))</f>
        <v/>
      </c>
      <c r="P82" s="11">
        <f>IF(OR(F82="",G82=""),"",IFERROR(INDEX('Evaluation table'!$B$4:$F$8,MATCH(TRIM(SUBSTITUTE(F82,"’","'")),'Evaluation table'!$A$4:$A$8,0),MATCH(TRIM(SUBSTITUTE(G82,"’","'")),'Evaluation table'!$B$3:$F$3,0)),"?"))</f>
        <v/>
      </c>
      <c r="Q82" s="11">
        <f>IF(OR(H82="",I82=""),"",IFERROR(INDEX('Evaluation table'!$B$4:$F$8,MATCH(TRIM(SUBSTITUTE(H82,"’","'")),'Evaluation table'!$A$4:$A$8,0),MATCH(TRIM(SUBSTITUTE(I82,"’","'")),'Evaluation table'!$B$3:$F$3,0)),"?"))</f>
        <v/>
      </c>
      <c r="R82" s="11">
        <f>IF(OR(J82="",K82=""),"",IFERROR(INDEX('Evaluation table'!$B$4:$F$8,MATCH(TRIM(SUBSTITUTE(J82,"’","'")),'Evaluation table'!$A$4:$A$8,0),MATCH(TRIM(SUBSTITUTE(K82,"’","'")),'Evaluation table'!$B$3:$F$3,0)),"?"))</f>
        <v/>
      </c>
      <c r="S82" s="11">
        <f>IF(OR(L82="",M82=""),"",IFERROR(INDEX('Evaluation table'!$B$4:$F$8,MATCH(TRIM(SUBSTITUTE(L82,"’","'")),'Evaluation table'!$A$4:$A$8,0),MATCH(TRIM(SUBSTITUTE(M82,"’","'")),'Evaluation table'!$B$3:$F$3,0)),"?"))</f>
        <v/>
      </c>
    </row>
    <row r="83">
      <c r="A83" s="2" t="n">
        <v>65</v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1">
        <f>IF(OR(B83="",C83=""),"",IFERROR(INDEX('Evaluation table'!$B$4:$F$8,MATCH(TRIM(SUBSTITUTE(B83,"’","'")),'Evaluation table'!$A$4:$A$8,0),MATCH(TRIM(SUBSTITUTE(C83,"’","'")),'Evaluation table'!$B$3:$F$3,0)),"?"))</f>
        <v/>
      </c>
      <c r="O83" s="11">
        <f>IF(OR(D83="",E83=""),"",IFERROR(INDEX('Evaluation table'!$B$4:$F$8,MATCH(TRIM(SUBSTITUTE(D83,"’","'")),'Evaluation table'!$A$4:$A$8,0),MATCH(TRIM(SUBSTITUTE(E83,"’","'")),'Evaluation table'!$B$3:$F$3,0)),"?"))</f>
        <v/>
      </c>
      <c r="P83" s="11">
        <f>IF(OR(F83="",G83=""),"",IFERROR(INDEX('Evaluation table'!$B$4:$F$8,MATCH(TRIM(SUBSTITUTE(F83,"’","'")),'Evaluation table'!$A$4:$A$8,0),MATCH(TRIM(SUBSTITUTE(G83,"’","'")),'Evaluation table'!$B$3:$F$3,0)),"?"))</f>
        <v/>
      </c>
      <c r="Q83" s="11">
        <f>IF(OR(H83="",I83=""),"",IFERROR(INDEX('Evaluation table'!$B$4:$F$8,MATCH(TRIM(SUBSTITUTE(H83,"’","'")),'Evaluation table'!$A$4:$A$8,0),MATCH(TRIM(SUBSTITUTE(I83,"’","'")),'Evaluation table'!$B$3:$F$3,0)),"?"))</f>
        <v/>
      </c>
      <c r="R83" s="11">
        <f>IF(OR(J83="",K83=""),"",IFERROR(INDEX('Evaluation table'!$B$4:$F$8,MATCH(TRIM(SUBSTITUTE(J83,"’","'")),'Evaluation table'!$A$4:$A$8,0),MATCH(TRIM(SUBSTITUTE(K83,"’","'")),'Evaluation table'!$B$3:$F$3,0)),"?"))</f>
        <v/>
      </c>
      <c r="S83" s="11">
        <f>IF(OR(L83="",M83=""),"",IFERROR(INDEX('Evaluation table'!$B$4:$F$8,MATCH(TRIM(SUBSTITUTE(L83,"’","'")),'Evaluation table'!$A$4:$A$8,0),MATCH(TRIM(SUBSTITUTE(M83,"’","'")),'Evaluation table'!$B$3:$F$3,0)),"?"))</f>
        <v/>
      </c>
    </row>
    <row r="84">
      <c r="A84" s="2" t="n">
        <v>66</v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1">
        <f>IF(OR(B84="",C84=""),"",IFERROR(INDEX('Evaluation table'!$B$4:$F$8,MATCH(TRIM(SUBSTITUTE(B84,"’","'")),'Evaluation table'!$A$4:$A$8,0),MATCH(TRIM(SUBSTITUTE(C84,"’","'")),'Evaluation table'!$B$3:$F$3,0)),"?"))</f>
        <v/>
      </c>
      <c r="O84" s="11">
        <f>IF(OR(D84="",E84=""),"",IFERROR(INDEX('Evaluation table'!$B$4:$F$8,MATCH(TRIM(SUBSTITUTE(D84,"’","'")),'Evaluation table'!$A$4:$A$8,0),MATCH(TRIM(SUBSTITUTE(E84,"’","'")),'Evaluation table'!$B$3:$F$3,0)),"?"))</f>
        <v/>
      </c>
      <c r="P84" s="11">
        <f>IF(OR(F84="",G84=""),"",IFERROR(INDEX('Evaluation table'!$B$4:$F$8,MATCH(TRIM(SUBSTITUTE(F84,"’","'")),'Evaluation table'!$A$4:$A$8,0),MATCH(TRIM(SUBSTITUTE(G84,"’","'")),'Evaluation table'!$B$3:$F$3,0)),"?"))</f>
        <v/>
      </c>
      <c r="Q84" s="11">
        <f>IF(OR(H84="",I84=""),"",IFERROR(INDEX('Evaluation table'!$B$4:$F$8,MATCH(TRIM(SUBSTITUTE(H84,"’","'")),'Evaluation table'!$A$4:$A$8,0),MATCH(TRIM(SUBSTITUTE(I84,"’","'")),'Evaluation table'!$B$3:$F$3,0)),"?"))</f>
        <v/>
      </c>
      <c r="R84" s="11">
        <f>IF(OR(J84="",K84=""),"",IFERROR(INDEX('Evaluation table'!$B$4:$F$8,MATCH(TRIM(SUBSTITUTE(J84,"’","'")),'Evaluation table'!$A$4:$A$8,0),MATCH(TRIM(SUBSTITUTE(K84,"’","'")),'Evaluation table'!$B$3:$F$3,0)),"?"))</f>
        <v/>
      </c>
      <c r="S84" s="11">
        <f>IF(OR(L84="",M84=""),"",IFERROR(INDEX('Evaluation table'!$B$4:$F$8,MATCH(TRIM(SUBSTITUTE(L84,"’","'")),'Evaluation table'!$A$4:$A$8,0),MATCH(TRIM(SUBSTITUTE(M84,"’","'")),'Evaluation table'!$B$3:$F$3,0)),"?"))</f>
        <v/>
      </c>
    </row>
    <row r="85">
      <c r="A85" s="2" t="n">
        <v>67</v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1">
        <f>IF(OR(B85="",C85=""),"",IFERROR(INDEX('Evaluation table'!$B$4:$F$8,MATCH(TRIM(SUBSTITUTE(B85,"’","'")),'Evaluation table'!$A$4:$A$8,0),MATCH(TRIM(SUBSTITUTE(C85,"’","'")),'Evaluation table'!$B$3:$F$3,0)),"?"))</f>
        <v/>
      </c>
      <c r="O85" s="11">
        <f>IF(OR(D85="",E85=""),"",IFERROR(INDEX('Evaluation table'!$B$4:$F$8,MATCH(TRIM(SUBSTITUTE(D85,"’","'")),'Evaluation table'!$A$4:$A$8,0),MATCH(TRIM(SUBSTITUTE(E85,"’","'")),'Evaluation table'!$B$3:$F$3,0)),"?"))</f>
        <v/>
      </c>
      <c r="P85" s="11">
        <f>IF(OR(F85="",G85=""),"",IFERROR(INDEX('Evaluation table'!$B$4:$F$8,MATCH(TRIM(SUBSTITUTE(F85,"’","'")),'Evaluation table'!$A$4:$A$8,0),MATCH(TRIM(SUBSTITUTE(G85,"’","'")),'Evaluation table'!$B$3:$F$3,0)),"?"))</f>
        <v/>
      </c>
      <c r="Q85" s="11">
        <f>IF(OR(H85="",I85=""),"",IFERROR(INDEX('Evaluation table'!$B$4:$F$8,MATCH(TRIM(SUBSTITUTE(H85,"’","'")),'Evaluation table'!$A$4:$A$8,0),MATCH(TRIM(SUBSTITUTE(I85,"’","'")),'Evaluation table'!$B$3:$F$3,0)),"?"))</f>
        <v/>
      </c>
      <c r="R85" s="11">
        <f>IF(OR(J85="",K85=""),"",IFERROR(INDEX('Evaluation table'!$B$4:$F$8,MATCH(TRIM(SUBSTITUTE(J85,"’","'")),'Evaluation table'!$A$4:$A$8,0),MATCH(TRIM(SUBSTITUTE(K85,"’","'")),'Evaluation table'!$B$3:$F$3,0)),"?"))</f>
        <v/>
      </c>
      <c r="S85" s="11">
        <f>IF(OR(L85="",M85=""),"",IFERROR(INDEX('Evaluation table'!$B$4:$F$8,MATCH(TRIM(SUBSTITUTE(L85,"’","'")),'Evaluation table'!$A$4:$A$8,0),MATCH(TRIM(SUBSTITUTE(M85,"’","'")),'Evaluation table'!$B$3:$F$3,0)),"?"))</f>
        <v/>
      </c>
    </row>
    <row r="86">
      <c r="A86" s="2" t="n">
        <v>68</v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1">
        <f>IF(OR(B86="",C86=""),"",IFERROR(INDEX('Evaluation table'!$B$4:$F$8,MATCH(TRIM(SUBSTITUTE(B86,"’","'")),'Evaluation table'!$A$4:$A$8,0),MATCH(TRIM(SUBSTITUTE(C86,"’","'")),'Evaluation table'!$B$3:$F$3,0)),"?"))</f>
        <v/>
      </c>
      <c r="O86" s="11">
        <f>IF(OR(D86="",E86=""),"",IFERROR(INDEX('Evaluation table'!$B$4:$F$8,MATCH(TRIM(SUBSTITUTE(D86,"’","'")),'Evaluation table'!$A$4:$A$8,0),MATCH(TRIM(SUBSTITUTE(E86,"’","'")),'Evaluation table'!$B$3:$F$3,0)),"?"))</f>
        <v/>
      </c>
      <c r="P86" s="11">
        <f>IF(OR(F86="",G86=""),"",IFERROR(INDEX('Evaluation table'!$B$4:$F$8,MATCH(TRIM(SUBSTITUTE(F86,"’","'")),'Evaluation table'!$A$4:$A$8,0),MATCH(TRIM(SUBSTITUTE(G86,"’","'")),'Evaluation table'!$B$3:$F$3,0)),"?"))</f>
        <v/>
      </c>
      <c r="Q86" s="11">
        <f>IF(OR(H86="",I86=""),"",IFERROR(INDEX('Evaluation table'!$B$4:$F$8,MATCH(TRIM(SUBSTITUTE(H86,"’","'")),'Evaluation table'!$A$4:$A$8,0),MATCH(TRIM(SUBSTITUTE(I86,"’","'")),'Evaluation table'!$B$3:$F$3,0)),"?"))</f>
        <v/>
      </c>
      <c r="R86" s="11">
        <f>IF(OR(J86="",K86=""),"",IFERROR(INDEX('Evaluation table'!$B$4:$F$8,MATCH(TRIM(SUBSTITUTE(J86,"’","'")),'Evaluation table'!$A$4:$A$8,0),MATCH(TRIM(SUBSTITUTE(K86,"’","'")),'Evaluation table'!$B$3:$F$3,0)),"?"))</f>
        <v/>
      </c>
      <c r="S86" s="11">
        <f>IF(OR(L86="",M86=""),"",IFERROR(INDEX('Evaluation table'!$B$4:$F$8,MATCH(TRIM(SUBSTITUTE(L86,"’","'")),'Evaluation table'!$A$4:$A$8,0),MATCH(TRIM(SUBSTITUTE(M86,"’","'")),'Evaluation table'!$B$3:$F$3,0)),"?"))</f>
        <v/>
      </c>
    </row>
    <row r="87">
      <c r="A87" s="2" t="n">
        <v>69</v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1">
        <f>IF(OR(B87="",C87=""),"",IFERROR(INDEX('Evaluation table'!$B$4:$F$8,MATCH(TRIM(SUBSTITUTE(B87,"’","'")),'Evaluation table'!$A$4:$A$8,0),MATCH(TRIM(SUBSTITUTE(C87,"’","'")),'Evaluation table'!$B$3:$F$3,0)),"?"))</f>
        <v/>
      </c>
      <c r="O87" s="11">
        <f>IF(OR(D87="",E87=""),"",IFERROR(INDEX('Evaluation table'!$B$4:$F$8,MATCH(TRIM(SUBSTITUTE(D87,"’","'")),'Evaluation table'!$A$4:$A$8,0),MATCH(TRIM(SUBSTITUTE(E87,"’","'")),'Evaluation table'!$B$3:$F$3,0)),"?"))</f>
        <v/>
      </c>
      <c r="P87" s="11">
        <f>IF(OR(F87="",G87=""),"",IFERROR(INDEX('Evaluation table'!$B$4:$F$8,MATCH(TRIM(SUBSTITUTE(F87,"’","'")),'Evaluation table'!$A$4:$A$8,0),MATCH(TRIM(SUBSTITUTE(G87,"’","'")),'Evaluation table'!$B$3:$F$3,0)),"?"))</f>
        <v/>
      </c>
      <c r="Q87" s="11">
        <f>IF(OR(H87="",I87=""),"",IFERROR(INDEX('Evaluation table'!$B$4:$F$8,MATCH(TRIM(SUBSTITUTE(H87,"’","'")),'Evaluation table'!$A$4:$A$8,0),MATCH(TRIM(SUBSTITUTE(I87,"’","'")),'Evaluation table'!$B$3:$F$3,0)),"?"))</f>
        <v/>
      </c>
      <c r="R87" s="11">
        <f>IF(OR(J87="",K87=""),"",IFERROR(INDEX('Evaluation table'!$B$4:$F$8,MATCH(TRIM(SUBSTITUTE(J87,"’","'")),'Evaluation table'!$A$4:$A$8,0),MATCH(TRIM(SUBSTITUTE(K87,"’","'")),'Evaluation table'!$B$3:$F$3,0)),"?"))</f>
        <v/>
      </c>
      <c r="S87" s="11">
        <f>IF(OR(L87="",M87=""),"",IFERROR(INDEX('Evaluation table'!$B$4:$F$8,MATCH(TRIM(SUBSTITUTE(L87,"’","'")),'Evaluation table'!$A$4:$A$8,0),MATCH(TRIM(SUBSTITUTE(M87,"’","'")),'Evaluation table'!$B$3:$F$3,0)),"?"))</f>
        <v/>
      </c>
    </row>
    <row r="88">
      <c r="A88" s="2" t="n">
        <v>70</v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1">
        <f>IF(OR(B88="",C88=""),"",IFERROR(INDEX('Evaluation table'!$B$4:$F$8,MATCH(TRIM(SUBSTITUTE(B88,"’","'")),'Evaluation table'!$A$4:$A$8,0),MATCH(TRIM(SUBSTITUTE(C88,"’","'")),'Evaluation table'!$B$3:$F$3,0)),"?"))</f>
        <v/>
      </c>
      <c r="O88" s="11">
        <f>IF(OR(D88="",E88=""),"",IFERROR(INDEX('Evaluation table'!$B$4:$F$8,MATCH(TRIM(SUBSTITUTE(D88,"’","'")),'Evaluation table'!$A$4:$A$8,0),MATCH(TRIM(SUBSTITUTE(E88,"’","'")),'Evaluation table'!$B$3:$F$3,0)),"?"))</f>
        <v/>
      </c>
      <c r="P88" s="11">
        <f>IF(OR(F88="",G88=""),"",IFERROR(INDEX('Evaluation table'!$B$4:$F$8,MATCH(TRIM(SUBSTITUTE(F88,"’","'")),'Evaluation table'!$A$4:$A$8,0),MATCH(TRIM(SUBSTITUTE(G88,"’","'")),'Evaluation table'!$B$3:$F$3,0)),"?"))</f>
        <v/>
      </c>
      <c r="Q88" s="11">
        <f>IF(OR(H88="",I88=""),"",IFERROR(INDEX('Evaluation table'!$B$4:$F$8,MATCH(TRIM(SUBSTITUTE(H88,"’","'")),'Evaluation table'!$A$4:$A$8,0),MATCH(TRIM(SUBSTITUTE(I88,"’","'")),'Evaluation table'!$B$3:$F$3,0)),"?"))</f>
        <v/>
      </c>
      <c r="R88" s="11">
        <f>IF(OR(J88="",K88=""),"",IFERROR(INDEX('Evaluation table'!$B$4:$F$8,MATCH(TRIM(SUBSTITUTE(J88,"’","'")),'Evaluation table'!$A$4:$A$8,0),MATCH(TRIM(SUBSTITUTE(K88,"’","'")),'Evaluation table'!$B$3:$F$3,0)),"?"))</f>
        <v/>
      </c>
      <c r="S88" s="11">
        <f>IF(OR(L88="",M88=""),"",IFERROR(INDEX('Evaluation table'!$B$4:$F$8,MATCH(TRIM(SUBSTITUTE(L88,"’","'")),'Evaluation table'!$A$4:$A$8,0),MATCH(TRIM(SUBSTITUTE(M88,"’","'")),'Evaluation table'!$B$3:$F$3,0)),"?"))</f>
        <v/>
      </c>
    </row>
    <row r="89">
      <c r="A89" s="2" t="n">
        <v>71</v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1">
        <f>IF(OR(B89="",C89=""),"",IFERROR(INDEX('Evaluation table'!$B$4:$F$8,MATCH(TRIM(SUBSTITUTE(B89,"’","'")),'Evaluation table'!$A$4:$A$8,0),MATCH(TRIM(SUBSTITUTE(C89,"’","'")),'Evaluation table'!$B$3:$F$3,0)),"?"))</f>
        <v/>
      </c>
      <c r="O89" s="11">
        <f>IF(OR(D89="",E89=""),"",IFERROR(INDEX('Evaluation table'!$B$4:$F$8,MATCH(TRIM(SUBSTITUTE(D89,"’","'")),'Evaluation table'!$A$4:$A$8,0),MATCH(TRIM(SUBSTITUTE(E89,"’","'")),'Evaluation table'!$B$3:$F$3,0)),"?"))</f>
        <v/>
      </c>
      <c r="P89" s="11">
        <f>IF(OR(F89="",G89=""),"",IFERROR(INDEX('Evaluation table'!$B$4:$F$8,MATCH(TRIM(SUBSTITUTE(F89,"’","'")),'Evaluation table'!$A$4:$A$8,0),MATCH(TRIM(SUBSTITUTE(G89,"’","'")),'Evaluation table'!$B$3:$F$3,0)),"?"))</f>
        <v/>
      </c>
      <c r="Q89" s="11">
        <f>IF(OR(H89="",I89=""),"",IFERROR(INDEX('Evaluation table'!$B$4:$F$8,MATCH(TRIM(SUBSTITUTE(H89,"’","'")),'Evaluation table'!$A$4:$A$8,0),MATCH(TRIM(SUBSTITUTE(I89,"’","'")),'Evaluation table'!$B$3:$F$3,0)),"?"))</f>
        <v/>
      </c>
      <c r="R89" s="11">
        <f>IF(OR(J89="",K89=""),"",IFERROR(INDEX('Evaluation table'!$B$4:$F$8,MATCH(TRIM(SUBSTITUTE(J89,"’","'")),'Evaluation table'!$A$4:$A$8,0),MATCH(TRIM(SUBSTITUTE(K89,"’","'")),'Evaluation table'!$B$3:$F$3,0)),"?"))</f>
        <v/>
      </c>
      <c r="S89" s="11">
        <f>IF(OR(L89="",M89=""),"",IFERROR(INDEX('Evaluation table'!$B$4:$F$8,MATCH(TRIM(SUBSTITUTE(L89,"’","'")),'Evaluation table'!$A$4:$A$8,0),MATCH(TRIM(SUBSTITUTE(M89,"’","'")),'Evaluation table'!$B$3:$F$3,0)),"?"))</f>
        <v/>
      </c>
    </row>
    <row r="90">
      <c r="A90" s="2" t="n">
        <v>72</v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1">
        <f>IF(OR(B90="",C90=""),"",IFERROR(INDEX('Evaluation table'!$B$4:$F$8,MATCH(TRIM(SUBSTITUTE(B90,"’","'")),'Evaluation table'!$A$4:$A$8,0),MATCH(TRIM(SUBSTITUTE(C90,"’","'")),'Evaluation table'!$B$3:$F$3,0)),"?"))</f>
        <v/>
      </c>
      <c r="O90" s="11">
        <f>IF(OR(D90="",E90=""),"",IFERROR(INDEX('Evaluation table'!$B$4:$F$8,MATCH(TRIM(SUBSTITUTE(D90,"’","'")),'Evaluation table'!$A$4:$A$8,0),MATCH(TRIM(SUBSTITUTE(E90,"’","'")),'Evaluation table'!$B$3:$F$3,0)),"?"))</f>
        <v/>
      </c>
      <c r="P90" s="11">
        <f>IF(OR(F90="",G90=""),"",IFERROR(INDEX('Evaluation table'!$B$4:$F$8,MATCH(TRIM(SUBSTITUTE(F90,"’","'")),'Evaluation table'!$A$4:$A$8,0),MATCH(TRIM(SUBSTITUTE(G90,"’","'")),'Evaluation table'!$B$3:$F$3,0)),"?"))</f>
        <v/>
      </c>
      <c r="Q90" s="11">
        <f>IF(OR(H90="",I90=""),"",IFERROR(INDEX('Evaluation table'!$B$4:$F$8,MATCH(TRIM(SUBSTITUTE(H90,"’","'")),'Evaluation table'!$A$4:$A$8,0),MATCH(TRIM(SUBSTITUTE(I90,"’","'")),'Evaluation table'!$B$3:$F$3,0)),"?"))</f>
        <v/>
      </c>
      <c r="R90" s="11">
        <f>IF(OR(J90="",K90=""),"",IFERROR(INDEX('Evaluation table'!$B$4:$F$8,MATCH(TRIM(SUBSTITUTE(J90,"’","'")),'Evaluation table'!$A$4:$A$8,0),MATCH(TRIM(SUBSTITUTE(K90,"’","'")),'Evaluation table'!$B$3:$F$3,0)),"?"))</f>
        <v/>
      </c>
      <c r="S90" s="11">
        <f>IF(OR(L90="",M90=""),"",IFERROR(INDEX('Evaluation table'!$B$4:$F$8,MATCH(TRIM(SUBSTITUTE(L90,"’","'")),'Evaluation table'!$A$4:$A$8,0),MATCH(TRIM(SUBSTITUTE(M90,"’","'")),'Evaluation table'!$B$3:$F$3,0)),"?"))</f>
        <v/>
      </c>
    </row>
    <row r="91">
      <c r="A91" s="2" t="n">
        <v>73</v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1">
        <f>IF(OR(B91="",C91=""),"",IFERROR(INDEX('Evaluation table'!$B$4:$F$8,MATCH(TRIM(SUBSTITUTE(B91,"’","'")),'Evaluation table'!$A$4:$A$8,0),MATCH(TRIM(SUBSTITUTE(C91,"’","'")),'Evaluation table'!$B$3:$F$3,0)),"?"))</f>
        <v/>
      </c>
      <c r="O91" s="11">
        <f>IF(OR(D91="",E91=""),"",IFERROR(INDEX('Evaluation table'!$B$4:$F$8,MATCH(TRIM(SUBSTITUTE(D91,"’","'")),'Evaluation table'!$A$4:$A$8,0),MATCH(TRIM(SUBSTITUTE(E91,"’","'")),'Evaluation table'!$B$3:$F$3,0)),"?"))</f>
        <v/>
      </c>
      <c r="P91" s="11">
        <f>IF(OR(F91="",G91=""),"",IFERROR(INDEX('Evaluation table'!$B$4:$F$8,MATCH(TRIM(SUBSTITUTE(F91,"’","'")),'Evaluation table'!$A$4:$A$8,0),MATCH(TRIM(SUBSTITUTE(G91,"’","'")),'Evaluation table'!$B$3:$F$3,0)),"?"))</f>
        <v/>
      </c>
      <c r="Q91" s="11">
        <f>IF(OR(H91="",I91=""),"",IFERROR(INDEX('Evaluation table'!$B$4:$F$8,MATCH(TRIM(SUBSTITUTE(H91,"’","'")),'Evaluation table'!$A$4:$A$8,0),MATCH(TRIM(SUBSTITUTE(I91,"’","'")),'Evaluation table'!$B$3:$F$3,0)),"?"))</f>
        <v/>
      </c>
      <c r="R91" s="11">
        <f>IF(OR(J91="",K91=""),"",IFERROR(INDEX('Evaluation table'!$B$4:$F$8,MATCH(TRIM(SUBSTITUTE(J91,"’","'")),'Evaluation table'!$A$4:$A$8,0),MATCH(TRIM(SUBSTITUTE(K91,"’","'")),'Evaluation table'!$B$3:$F$3,0)),"?"))</f>
        <v/>
      </c>
      <c r="S91" s="11">
        <f>IF(OR(L91="",M91=""),"",IFERROR(INDEX('Evaluation table'!$B$4:$F$8,MATCH(TRIM(SUBSTITUTE(L91,"’","'")),'Evaluation table'!$A$4:$A$8,0),MATCH(TRIM(SUBSTITUTE(M91,"’","'")),'Evaluation table'!$B$3:$F$3,0)),"?"))</f>
        <v/>
      </c>
    </row>
    <row r="92">
      <c r="A92" s="2" t="n">
        <v>74</v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1">
        <f>IF(OR(B92="",C92=""),"",IFERROR(INDEX('Evaluation table'!$B$4:$F$8,MATCH(TRIM(SUBSTITUTE(B92,"’","'")),'Evaluation table'!$A$4:$A$8,0),MATCH(TRIM(SUBSTITUTE(C92,"’","'")),'Evaluation table'!$B$3:$F$3,0)),"?"))</f>
        <v/>
      </c>
      <c r="O92" s="11">
        <f>IF(OR(D92="",E92=""),"",IFERROR(INDEX('Evaluation table'!$B$4:$F$8,MATCH(TRIM(SUBSTITUTE(D92,"’","'")),'Evaluation table'!$A$4:$A$8,0),MATCH(TRIM(SUBSTITUTE(E92,"’","'")),'Evaluation table'!$B$3:$F$3,0)),"?"))</f>
        <v/>
      </c>
      <c r="P92" s="11">
        <f>IF(OR(F92="",G92=""),"",IFERROR(INDEX('Evaluation table'!$B$4:$F$8,MATCH(TRIM(SUBSTITUTE(F92,"’","'")),'Evaluation table'!$A$4:$A$8,0),MATCH(TRIM(SUBSTITUTE(G92,"’","'")),'Evaluation table'!$B$3:$F$3,0)),"?"))</f>
        <v/>
      </c>
      <c r="Q92" s="11">
        <f>IF(OR(H92="",I92=""),"",IFERROR(INDEX('Evaluation table'!$B$4:$F$8,MATCH(TRIM(SUBSTITUTE(H92,"’","'")),'Evaluation table'!$A$4:$A$8,0),MATCH(TRIM(SUBSTITUTE(I92,"’","'")),'Evaluation table'!$B$3:$F$3,0)),"?"))</f>
        <v/>
      </c>
      <c r="R92" s="11">
        <f>IF(OR(J92="",K92=""),"",IFERROR(INDEX('Evaluation table'!$B$4:$F$8,MATCH(TRIM(SUBSTITUTE(J92,"’","'")),'Evaluation table'!$A$4:$A$8,0),MATCH(TRIM(SUBSTITUTE(K92,"’","'")),'Evaluation table'!$B$3:$F$3,0)),"?"))</f>
        <v/>
      </c>
      <c r="S92" s="11">
        <f>IF(OR(L92="",M92=""),"",IFERROR(INDEX('Evaluation table'!$B$4:$F$8,MATCH(TRIM(SUBSTITUTE(L92,"’","'")),'Evaluation table'!$A$4:$A$8,0),MATCH(TRIM(SUBSTITUTE(M92,"’","'")),'Evaluation table'!$B$3:$F$3,0)),"?"))</f>
        <v/>
      </c>
    </row>
    <row r="93">
      <c r="A93" s="2" t="n">
        <v>75</v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1">
        <f>IF(OR(B93="",C93=""),"",IFERROR(INDEX('Evaluation table'!$B$4:$F$8,MATCH(TRIM(SUBSTITUTE(B93,"’","'")),'Evaluation table'!$A$4:$A$8,0),MATCH(TRIM(SUBSTITUTE(C93,"’","'")),'Evaluation table'!$B$3:$F$3,0)),"?"))</f>
        <v/>
      </c>
      <c r="O93" s="11">
        <f>IF(OR(D93="",E93=""),"",IFERROR(INDEX('Evaluation table'!$B$4:$F$8,MATCH(TRIM(SUBSTITUTE(D93,"’","'")),'Evaluation table'!$A$4:$A$8,0),MATCH(TRIM(SUBSTITUTE(E93,"’","'")),'Evaluation table'!$B$3:$F$3,0)),"?"))</f>
        <v/>
      </c>
      <c r="P93" s="11">
        <f>IF(OR(F93="",G93=""),"",IFERROR(INDEX('Evaluation table'!$B$4:$F$8,MATCH(TRIM(SUBSTITUTE(F93,"’","'")),'Evaluation table'!$A$4:$A$8,0),MATCH(TRIM(SUBSTITUTE(G93,"’","'")),'Evaluation table'!$B$3:$F$3,0)),"?"))</f>
        <v/>
      </c>
      <c r="Q93" s="11">
        <f>IF(OR(H93="",I93=""),"",IFERROR(INDEX('Evaluation table'!$B$4:$F$8,MATCH(TRIM(SUBSTITUTE(H93,"’","'")),'Evaluation table'!$A$4:$A$8,0),MATCH(TRIM(SUBSTITUTE(I93,"’","'")),'Evaluation table'!$B$3:$F$3,0)),"?"))</f>
        <v/>
      </c>
      <c r="R93" s="11">
        <f>IF(OR(J93="",K93=""),"",IFERROR(INDEX('Evaluation table'!$B$4:$F$8,MATCH(TRIM(SUBSTITUTE(J93,"’","'")),'Evaluation table'!$A$4:$A$8,0),MATCH(TRIM(SUBSTITUTE(K93,"’","'")),'Evaluation table'!$B$3:$F$3,0)),"?"))</f>
        <v/>
      </c>
      <c r="S93" s="11">
        <f>IF(OR(L93="",M93=""),"",IFERROR(INDEX('Evaluation table'!$B$4:$F$8,MATCH(TRIM(SUBSTITUTE(L93,"’","'")),'Evaluation table'!$A$4:$A$8,0),MATCH(TRIM(SUBSTITUTE(M93,"’","'")),'Evaluation table'!$B$3:$F$3,0)),"?"))</f>
        <v/>
      </c>
    </row>
    <row r="94">
      <c r="A94" s="2" t="n">
        <v>76</v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1">
        <f>IF(OR(B94="",C94=""),"",IFERROR(INDEX('Evaluation table'!$B$4:$F$8,MATCH(TRIM(SUBSTITUTE(B94,"’","'")),'Evaluation table'!$A$4:$A$8,0),MATCH(TRIM(SUBSTITUTE(C94,"’","'")),'Evaluation table'!$B$3:$F$3,0)),"?"))</f>
        <v/>
      </c>
      <c r="O94" s="11">
        <f>IF(OR(D94="",E94=""),"",IFERROR(INDEX('Evaluation table'!$B$4:$F$8,MATCH(TRIM(SUBSTITUTE(D94,"’","'")),'Evaluation table'!$A$4:$A$8,0),MATCH(TRIM(SUBSTITUTE(E94,"’","'")),'Evaluation table'!$B$3:$F$3,0)),"?"))</f>
        <v/>
      </c>
      <c r="P94" s="11">
        <f>IF(OR(F94="",G94=""),"",IFERROR(INDEX('Evaluation table'!$B$4:$F$8,MATCH(TRIM(SUBSTITUTE(F94,"’","'")),'Evaluation table'!$A$4:$A$8,0),MATCH(TRIM(SUBSTITUTE(G94,"’","'")),'Evaluation table'!$B$3:$F$3,0)),"?"))</f>
        <v/>
      </c>
      <c r="Q94" s="11">
        <f>IF(OR(H94="",I94=""),"",IFERROR(INDEX('Evaluation table'!$B$4:$F$8,MATCH(TRIM(SUBSTITUTE(H94,"’","'")),'Evaluation table'!$A$4:$A$8,0),MATCH(TRIM(SUBSTITUTE(I94,"’","'")),'Evaluation table'!$B$3:$F$3,0)),"?"))</f>
        <v/>
      </c>
      <c r="R94" s="11">
        <f>IF(OR(J94="",K94=""),"",IFERROR(INDEX('Evaluation table'!$B$4:$F$8,MATCH(TRIM(SUBSTITUTE(J94,"’","'")),'Evaluation table'!$A$4:$A$8,0),MATCH(TRIM(SUBSTITUTE(K94,"’","'")),'Evaluation table'!$B$3:$F$3,0)),"?"))</f>
        <v/>
      </c>
      <c r="S94" s="11">
        <f>IF(OR(L94="",M94=""),"",IFERROR(INDEX('Evaluation table'!$B$4:$F$8,MATCH(TRIM(SUBSTITUTE(L94,"’","'")),'Evaluation table'!$A$4:$A$8,0),MATCH(TRIM(SUBSTITUTE(M94,"’","'")),'Evaluation table'!$B$3:$F$3,0)),"?"))</f>
        <v/>
      </c>
    </row>
    <row r="95">
      <c r="A95" s="2" t="n">
        <v>77</v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1">
        <f>IF(OR(B95="",C95=""),"",IFERROR(INDEX('Evaluation table'!$B$4:$F$8,MATCH(TRIM(SUBSTITUTE(B95,"’","'")),'Evaluation table'!$A$4:$A$8,0),MATCH(TRIM(SUBSTITUTE(C95,"’","'")),'Evaluation table'!$B$3:$F$3,0)),"?"))</f>
        <v/>
      </c>
      <c r="O95" s="11">
        <f>IF(OR(D95="",E95=""),"",IFERROR(INDEX('Evaluation table'!$B$4:$F$8,MATCH(TRIM(SUBSTITUTE(D95,"’","'")),'Evaluation table'!$A$4:$A$8,0),MATCH(TRIM(SUBSTITUTE(E95,"’","'")),'Evaluation table'!$B$3:$F$3,0)),"?"))</f>
        <v/>
      </c>
      <c r="P95" s="11">
        <f>IF(OR(F95="",G95=""),"",IFERROR(INDEX('Evaluation table'!$B$4:$F$8,MATCH(TRIM(SUBSTITUTE(F95,"’","'")),'Evaluation table'!$A$4:$A$8,0),MATCH(TRIM(SUBSTITUTE(G95,"’","'")),'Evaluation table'!$B$3:$F$3,0)),"?"))</f>
        <v/>
      </c>
      <c r="Q95" s="11">
        <f>IF(OR(H95="",I95=""),"",IFERROR(INDEX('Evaluation table'!$B$4:$F$8,MATCH(TRIM(SUBSTITUTE(H95,"’","'")),'Evaluation table'!$A$4:$A$8,0),MATCH(TRIM(SUBSTITUTE(I95,"’","'")),'Evaluation table'!$B$3:$F$3,0)),"?"))</f>
        <v/>
      </c>
      <c r="R95" s="11">
        <f>IF(OR(J95="",K95=""),"",IFERROR(INDEX('Evaluation table'!$B$4:$F$8,MATCH(TRIM(SUBSTITUTE(J95,"’","'")),'Evaluation table'!$A$4:$A$8,0),MATCH(TRIM(SUBSTITUTE(K95,"’","'")),'Evaluation table'!$B$3:$F$3,0)),"?"))</f>
        <v/>
      </c>
      <c r="S95" s="11">
        <f>IF(OR(L95="",M95=""),"",IFERROR(INDEX('Evaluation table'!$B$4:$F$8,MATCH(TRIM(SUBSTITUTE(L95,"’","'")),'Evaluation table'!$A$4:$A$8,0),MATCH(TRIM(SUBSTITUTE(M95,"’","'")),'Evaluation table'!$B$3:$F$3,0)),"?"))</f>
        <v/>
      </c>
    </row>
    <row r="96">
      <c r="A96" s="2" t="n">
        <v>78</v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1">
        <f>IF(OR(B96="",C96=""),"",IFERROR(INDEX('Evaluation table'!$B$4:$F$8,MATCH(TRIM(SUBSTITUTE(B96,"’","'")),'Evaluation table'!$A$4:$A$8,0),MATCH(TRIM(SUBSTITUTE(C96,"’","'")),'Evaluation table'!$B$3:$F$3,0)),"?"))</f>
        <v/>
      </c>
      <c r="O96" s="11">
        <f>IF(OR(D96="",E96=""),"",IFERROR(INDEX('Evaluation table'!$B$4:$F$8,MATCH(TRIM(SUBSTITUTE(D96,"’","'")),'Evaluation table'!$A$4:$A$8,0),MATCH(TRIM(SUBSTITUTE(E96,"’","'")),'Evaluation table'!$B$3:$F$3,0)),"?"))</f>
        <v/>
      </c>
      <c r="P96" s="11">
        <f>IF(OR(F96="",G96=""),"",IFERROR(INDEX('Evaluation table'!$B$4:$F$8,MATCH(TRIM(SUBSTITUTE(F96,"’","'")),'Evaluation table'!$A$4:$A$8,0),MATCH(TRIM(SUBSTITUTE(G96,"’","'")),'Evaluation table'!$B$3:$F$3,0)),"?"))</f>
        <v/>
      </c>
      <c r="Q96" s="11">
        <f>IF(OR(H96="",I96=""),"",IFERROR(INDEX('Evaluation table'!$B$4:$F$8,MATCH(TRIM(SUBSTITUTE(H96,"’","'")),'Evaluation table'!$A$4:$A$8,0),MATCH(TRIM(SUBSTITUTE(I96,"’","'")),'Evaluation table'!$B$3:$F$3,0)),"?"))</f>
        <v/>
      </c>
      <c r="R96" s="11">
        <f>IF(OR(J96="",K96=""),"",IFERROR(INDEX('Evaluation table'!$B$4:$F$8,MATCH(TRIM(SUBSTITUTE(J96,"’","'")),'Evaluation table'!$A$4:$A$8,0),MATCH(TRIM(SUBSTITUTE(K96,"’","'")),'Evaluation table'!$B$3:$F$3,0)),"?"))</f>
        <v/>
      </c>
      <c r="S96" s="11">
        <f>IF(OR(L96="",M96=""),"",IFERROR(INDEX('Evaluation table'!$B$4:$F$8,MATCH(TRIM(SUBSTITUTE(L96,"’","'")),'Evaluation table'!$A$4:$A$8,0),MATCH(TRIM(SUBSTITUTE(M96,"’","'")),'Evaluation table'!$B$3:$F$3,0)),"?"))</f>
        <v/>
      </c>
    </row>
    <row r="97">
      <c r="A97" s="2" t="n">
        <v>79</v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1">
        <f>IF(OR(B97="",C97=""),"",IFERROR(INDEX('Evaluation table'!$B$4:$F$8,MATCH(TRIM(SUBSTITUTE(B97,"’","'")),'Evaluation table'!$A$4:$A$8,0),MATCH(TRIM(SUBSTITUTE(C97,"’","'")),'Evaluation table'!$B$3:$F$3,0)),"?"))</f>
        <v/>
      </c>
      <c r="O97" s="11">
        <f>IF(OR(D97="",E97=""),"",IFERROR(INDEX('Evaluation table'!$B$4:$F$8,MATCH(TRIM(SUBSTITUTE(D97,"’","'")),'Evaluation table'!$A$4:$A$8,0),MATCH(TRIM(SUBSTITUTE(E97,"’","'")),'Evaluation table'!$B$3:$F$3,0)),"?"))</f>
        <v/>
      </c>
      <c r="P97" s="11">
        <f>IF(OR(F97="",G97=""),"",IFERROR(INDEX('Evaluation table'!$B$4:$F$8,MATCH(TRIM(SUBSTITUTE(F97,"’","'")),'Evaluation table'!$A$4:$A$8,0),MATCH(TRIM(SUBSTITUTE(G97,"’","'")),'Evaluation table'!$B$3:$F$3,0)),"?"))</f>
        <v/>
      </c>
      <c r="Q97" s="11">
        <f>IF(OR(H97="",I97=""),"",IFERROR(INDEX('Evaluation table'!$B$4:$F$8,MATCH(TRIM(SUBSTITUTE(H97,"’","'")),'Evaluation table'!$A$4:$A$8,0),MATCH(TRIM(SUBSTITUTE(I97,"’","'")),'Evaluation table'!$B$3:$F$3,0)),"?"))</f>
        <v/>
      </c>
      <c r="R97" s="11">
        <f>IF(OR(J97="",K97=""),"",IFERROR(INDEX('Evaluation table'!$B$4:$F$8,MATCH(TRIM(SUBSTITUTE(J97,"’","'")),'Evaluation table'!$A$4:$A$8,0),MATCH(TRIM(SUBSTITUTE(K97,"’","'")),'Evaluation table'!$B$3:$F$3,0)),"?"))</f>
        <v/>
      </c>
      <c r="S97" s="11">
        <f>IF(OR(L97="",M97=""),"",IFERROR(INDEX('Evaluation table'!$B$4:$F$8,MATCH(TRIM(SUBSTITUTE(L97,"’","'")),'Evaluation table'!$A$4:$A$8,0),MATCH(TRIM(SUBSTITUTE(M97,"’","'")),'Evaluation table'!$B$3:$F$3,0)),"?"))</f>
        <v/>
      </c>
    </row>
    <row r="98">
      <c r="A98" s="2" t="n">
        <v>80</v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1">
        <f>IF(OR(B98="",C98=""),"",IFERROR(INDEX('Evaluation table'!$B$4:$F$8,MATCH(TRIM(SUBSTITUTE(B98,"’","'")),'Evaluation table'!$A$4:$A$8,0),MATCH(TRIM(SUBSTITUTE(C98,"’","'")),'Evaluation table'!$B$3:$F$3,0)),"?"))</f>
        <v/>
      </c>
      <c r="O98" s="11">
        <f>IF(OR(D98="",E98=""),"",IFERROR(INDEX('Evaluation table'!$B$4:$F$8,MATCH(TRIM(SUBSTITUTE(D98,"’","'")),'Evaluation table'!$A$4:$A$8,0),MATCH(TRIM(SUBSTITUTE(E98,"’","'")),'Evaluation table'!$B$3:$F$3,0)),"?"))</f>
        <v/>
      </c>
      <c r="P98" s="11">
        <f>IF(OR(F98="",G98=""),"",IFERROR(INDEX('Evaluation table'!$B$4:$F$8,MATCH(TRIM(SUBSTITUTE(F98,"’","'")),'Evaluation table'!$A$4:$A$8,0),MATCH(TRIM(SUBSTITUTE(G98,"’","'")),'Evaluation table'!$B$3:$F$3,0)),"?"))</f>
        <v/>
      </c>
      <c r="Q98" s="11">
        <f>IF(OR(H98="",I98=""),"",IFERROR(INDEX('Evaluation table'!$B$4:$F$8,MATCH(TRIM(SUBSTITUTE(H98,"’","'")),'Evaluation table'!$A$4:$A$8,0),MATCH(TRIM(SUBSTITUTE(I98,"’","'")),'Evaluation table'!$B$3:$F$3,0)),"?"))</f>
        <v/>
      </c>
      <c r="R98" s="11">
        <f>IF(OR(J98="",K98=""),"",IFERROR(INDEX('Evaluation table'!$B$4:$F$8,MATCH(TRIM(SUBSTITUTE(J98,"’","'")),'Evaluation table'!$A$4:$A$8,0),MATCH(TRIM(SUBSTITUTE(K98,"’","'")),'Evaluation table'!$B$3:$F$3,0)),"?"))</f>
        <v/>
      </c>
      <c r="S98" s="11">
        <f>IF(OR(L98="",M98=""),"",IFERROR(INDEX('Evaluation table'!$B$4:$F$8,MATCH(TRIM(SUBSTITUTE(L98,"’","'")),'Evaluation table'!$A$4:$A$8,0),MATCH(TRIM(SUBSTITUTE(M98,"’","'")),'Evaluation table'!$B$3:$F$3,0)),"?"))</f>
        <v/>
      </c>
    </row>
    <row r="99">
      <c r="A99" s="2" t="n">
        <v>81</v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1">
        <f>IF(OR(B99="",C99=""),"",IFERROR(INDEX('Evaluation table'!$B$4:$F$8,MATCH(TRIM(SUBSTITUTE(B99,"’","'")),'Evaluation table'!$A$4:$A$8,0),MATCH(TRIM(SUBSTITUTE(C99,"’","'")),'Evaluation table'!$B$3:$F$3,0)),"?"))</f>
        <v/>
      </c>
      <c r="O99" s="11">
        <f>IF(OR(D99="",E99=""),"",IFERROR(INDEX('Evaluation table'!$B$4:$F$8,MATCH(TRIM(SUBSTITUTE(D99,"’","'")),'Evaluation table'!$A$4:$A$8,0),MATCH(TRIM(SUBSTITUTE(E99,"’","'")),'Evaluation table'!$B$3:$F$3,0)),"?"))</f>
        <v/>
      </c>
      <c r="P99" s="11">
        <f>IF(OR(F99="",G99=""),"",IFERROR(INDEX('Evaluation table'!$B$4:$F$8,MATCH(TRIM(SUBSTITUTE(F99,"’","'")),'Evaluation table'!$A$4:$A$8,0),MATCH(TRIM(SUBSTITUTE(G99,"’","'")),'Evaluation table'!$B$3:$F$3,0)),"?"))</f>
        <v/>
      </c>
      <c r="Q99" s="11">
        <f>IF(OR(H99="",I99=""),"",IFERROR(INDEX('Evaluation table'!$B$4:$F$8,MATCH(TRIM(SUBSTITUTE(H99,"’","'")),'Evaluation table'!$A$4:$A$8,0),MATCH(TRIM(SUBSTITUTE(I99,"’","'")),'Evaluation table'!$B$3:$F$3,0)),"?"))</f>
        <v/>
      </c>
      <c r="R99" s="11">
        <f>IF(OR(J99="",K99=""),"",IFERROR(INDEX('Evaluation table'!$B$4:$F$8,MATCH(TRIM(SUBSTITUTE(J99,"’","'")),'Evaluation table'!$A$4:$A$8,0),MATCH(TRIM(SUBSTITUTE(K99,"’","'")),'Evaluation table'!$B$3:$F$3,0)),"?"))</f>
        <v/>
      </c>
      <c r="S99" s="11">
        <f>IF(OR(L99="",M99=""),"",IFERROR(INDEX('Evaluation table'!$B$4:$F$8,MATCH(TRIM(SUBSTITUTE(L99,"’","'")),'Evaluation table'!$A$4:$A$8,0),MATCH(TRIM(SUBSTITUTE(M99,"’","'")),'Evaluation table'!$B$3:$F$3,0)),"?"))</f>
        <v/>
      </c>
    </row>
    <row r="100">
      <c r="A100" s="2" t="n">
        <v>82</v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1">
        <f>IF(OR(B100="",C100=""),"",IFERROR(INDEX('Evaluation table'!$B$4:$F$8,MATCH(TRIM(SUBSTITUTE(B100,"’","'")),'Evaluation table'!$A$4:$A$8,0),MATCH(TRIM(SUBSTITUTE(C100,"’","'")),'Evaluation table'!$B$3:$F$3,0)),"?"))</f>
        <v/>
      </c>
      <c r="O100" s="11">
        <f>IF(OR(D100="",E100=""),"",IFERROR(INDEX('Evaluation table'!$B$4:$F$8,MATCH(TRIM(SUBSTITUTE(D100,"’","'")),'Evaluation table'!$A$4:$A$8,0),MATCH(TRIM(SUBSTITUTE(E100,"’","'")),'Evaluation table'!$B$3:$F$3,0)),"?"))</f>
        <v/>
      </c>
      <c r="P100" s="11">
        <f>IF(OR(F100="",G100=""),"",IFERROR(INDEX('Evaluation table'!$B$4:$F$8,MATCH(TRIM(SUBSTITUTE(F100,"’","'")),'Evaluation table'!$A$4:$A$8,0),MATCH(TRIM(SUBSTITUTE(G100,"’","'")),'Evaluation table'!$B$3:$F$3,0)),"?"))</f>
        <v/>
      </c>
      <c r="Q100" s="11">
        <f>IF(OR(H100="",I100=""),"",IFERROR(INDEX('Evaluation table'!$B$4:$F$8,MATCH(TRIM(SUBSTITUTE(H100,"’","'")),'Evaluation table'!$A$4:$A$8,0),MATCH(TRIM(SUBSTITUTE(I100,"’","'")),'Evaluation table'!$B$3:$F$3,0)),"?"))</f>
        <v/>
      </c>
      <c r="R100" s="11">
        <f>IF(OR(J100="",K100=""),"",IFERROR(INDEX('Evaluation table'!$B$4:$F$8,MATCH(TRIM(SUBSTITUTE(J100,"’","'")),'Evaluation table'!$A$4:$A$8,0),MATCH(TRIM(SUBSTITUTE(K100,"’","'")),'Evaluation table'!$B$3:$F$3,0)),"?"))</f>
        <v/>
      </c>
      <c r="S100" s="11">
        <f>IF(OR(L100="",M100=""),"",IFERROR(INDEX('Evaluation table'!$B$4:$F$8,MATCH(TRIM(SUBSTITUTE(L100,"’","'")),'Evaluation table'!$A$4:$A$8,0),MATCH(TRIM(SUBSTITUTE(M100,"’","'")),'Evaluation table'!$B$3:$F$3,0)),"?"))</f>
        <v/>
      </c>
    </row>
    <row r="101">
      <c r="A101" s="2" t="n">
        <v>83</v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1">
        <f>IF(OR(B101="",C101=""),"",IFERROR(INDEX('Evaluation table'!$B$4:$F$8,MATCH(TRIM(SUBSTITUTE(B101,"’","'")),'Evaluation table'!$A$4:$A$8,0),MATCH(TRIM(SUBSTITUTE(C101,"’","'")),'Evaluation table'!$B$3:$F$3,0)),"?"))</f>
        <v/>
      </c>
      <c r="O101" s="11">
        <f>IF(OR(D101="",E101=""),"",IFERROR(INDEX('Evaluation table'!$B$4:$F$8,MATCH(TRIM(SUBSTITUTE(D101,"’","'")),'Evaluation table'!$A$4:$A$8,0),MATCH(TRIM(SUBSTITUTE(E101,"’","'")),'Evaluation table'!$B$3:$F$3,0)),"?"))</f>
        <v/>
      </c>
      <c r="P101" s="11">
        <f>IF(OR(F101="",G101=""),"",IFERROR(INDEX('Evaluation table'!$B$4:$F$8,MATCH(TRIM(SUBSTITUTE(F101,"’","'")),'Evaluation table'!$A$4:$A$8,0),MATCH(TRIM(SUBSTITUTE(G101,"’","'")),'Evaluation table'!$B$3:$F$3,0)),"?"))</f>
        <v/>
      </c>
      <c r="Q101" s="11">
        <f>IF(OR(H101="",I101=""),"",IFERROR(INDEX('Evaluation table'!$B$4:$F$8,MATCH(TRIM(SUBSTITUTE(H101,"’","'")),'Evaluation table'!$A$4:$A$8,0),MATCH(TRIM(SUBSTITUTE(I101,"’","'")),'Evaluation table'!$B$3:$F$3,0)),"?"))</f>
        <v/>
      </c>
      <c r="R101" s="11">
        <f>IF(OR(J101="",K101=""),"",IFERROR(INDEX('Evaluation table'!$B$4:$F$8,MATCH(TRIM(SUBSTITUTE(J101,"’","'")),'Evaluation table'!$A$4:$A$8,0),MATCH(TRIM(SUBSTITUTE(K101,"’","'")),'Evaluation table'!$B$3:$F$3,0)),"?"))</f>
        <v/>
      </c>
      <c r="S101" s="11">
        <f>IF(OR(L101="",M101=""),"",IFERROR(INDEX('Evaluation table'!$B$4:$F$8,MATCH(TRIM(SUBSTITUTE(L101,"’","'")),'Evaluation table'!$A$4:$A$8,0),MATCH(TRIM(SUBSTITUTE(M101,"’","'")),'Evaluation table'!$B$3:$F$3,0)),"?"))</f>
        <v/>
      </c>
    </row>
    <row r="102">
      <c r="A102" s="2" t="n">
        <v>84</v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1">
        <f>IF(OR(B102="",C102=""),"",IFERROR(INDEX('Evaluation table'!$B$4:$F$8,MATCH(TRIM(SUBSTITUTE(B102,"’","'")),'Evaluation table'!$A$4:$A$8,0),MATCH(TRIM(SUBSTITUTE(C102,"’","'")),'Evaluation table'!$B$3:$F$3,0)),"?"))</f>
        <v/>
      </c>
      <c r="O102" s="11">
        <f>IF(OR(D102="",E102=""),"",IFERROR(INDEX('Evaluation table'!$B$4:$F$8,MATCH(TRIM(SUBSTITUTE(D102,"’","'")),'Evaluation table'!$A$4:$A$8,0),MATCH(TRIM(SUBSTITUTE(E102,"’","'")),'Evaluation table'!$B$3:$F$3,0)),"?"))</f>
        <v/>
      </c>
      <c r="P102" s="11">
        <f>IF(OR(F102="",G102=""),"",IFERROR(INDEX('Evaluation table'!$B$4:$F$8,MATCH(TRIM(SUBSTITUTE(F102,"’","'")),'Evaluation table'!$A$4:$A$8,0),MATCH(TRIM(SUBSTITUTE(G102,"’","'")),'Evaluation table'!$B$3:$F$3,0)),"?"))</f>
        <v/>
      </c>
      <c r="Q102" s="11">
        <f>IF(OR(H102="",I102=""),"",IFERROR(INDEX('Evaluation table'!$B$4:$F$8,MATCH(TRIM(SUBSTITUTE(H102,"’","'")),'Evaluation table'!$A$4:$A$8,0),MATCH(TRIM(SUBSTITUTE(I102,"’","'")),'Evaluation table'!$B$3:$F$3,0)),"?"))</f>
        <v/>
      </c>
      <c r="R102" s="11">
        <f>IF(OR(J102="",K102=""),"",IFERROR(INDEX('Evaluation table'!$B$4:$F$8,MATCH(TRIM(SUBSTITUTE(J102,"’","'")),'Evaluation table'!$A$4:$A$8,0),MATCH(TRIM(SUBSTITUTE(K102,"’","'")),'Evaluation table'!$B$3:$F$3,0)),"?"))</f>
        <v/>
      </c>
      <c r="S102" s="11">
        <f>IF(OR(L102="",M102=""),"",IFERROR(INDEX('Evaluation table'!$B$4:$F$8,MATCH(TRIM(SUBSTITUTE(L102,"’","'")),'Evaluation table'!$A$4:$A$8,0),MATCH(TRIM(SUBSTITUTE(M102,"’","'")),'Evaluation table'!$B$3:$F$3,0)),"?"))</f>
        <v/>
      </c>
    </row>
    <row r="103">
      <c r="A103" s="2" t="n">
        <v>85</v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1">
        <f>IF(OR(B103="",C103=""),"",IFERROR(INDEX('Evaluation table'!$B$4:$F$8,MATCH(TRIM(SUBSTITUTE(B103,"’","'")),'Evaluation table'!$A$4:$A$8,0),MATCH(TRIM(SUBSTITUTE(C103,"’","'")),'Evaluation table'!$B$3:$F$3,0)),"?"))</f>
        <v/>
      </c>
      <c r="O103" s="11">
        <f>IF(OR(D103="",E103=""),"",IFERROR(INDEX('Evaluation table'!$B$4:$F$8,MATCH(TRIM(SUBSTITUTE(D103,"’","'")),'Evaluation table'!$A$4:$A$8,0),MATCH(TRIM(SUBSTITUTE(E103,"’","'")),'Evaluation table'!$B$3:$F$3,0)),"?"))</f>
        <v/>
      </c>
      <c r="P103" s="11">
        <f>IF(OR(F103="",G103=""),"",IFERROR(INDEX('Evaluation table'!$B$4:$F$8,MATCH(TRIM(SUBSTITUTE(F103,"’","'")),'Evaluation table'!$A$4:$A$8,0),MATCH(TRIM(SUBSTITUTE(G103,"’","'")),'Evaluation table'!$B$3:$F$3,0)),"?"))</f>
        <v/>
      </c>
      <c r="Q103" s="11">
        <f>IF(OR(H103="",I103=""),"",IFERROR(INDEX('Evaluation table'!$B$4:$F$8,MATCH(TRIM(SUBSTITUTE(H103,"’","'")),'Evaluation table'!$A$4:$A$8,0),MATCH(TRIM(SUBSTITUTE(I103,"’","'")),'Evaluation table'!$B$3:$F$3,0)),"?"))</f>
        <v/>
      </c>
      <c r="R103" s="11">
        <f>IF(OR(J103="",K103=""),"",IFERROR(INDEX('Evaluation table'!$B$4:$F$8,MATCH(TRIM(SUBSTITUTE(J103,"’","'")),'Evaluation table'!$A$4:$A$8,0),MATCH(TRIM(SUBSTITUTE(K103,"’","'")),'Evaluation table'!$B$3:$F$3,0)),"?"))</f>
        <v/>
      </c>
      <c r="S103" s="11">
        <f>IF(OR(L103="",M103=""),"",IFERROR(INDEX('Evaluation table'!$B$4:$F$8,MATCH(TRIM(SUBSTITUTE(L103,"’","'")),'Evaluation table'!$A$4:$A$8,0),MATCH(TRIM(SUBSTITUTE(M103,"’","'")),'Evaluation table'!$B$3:$F$3,0)),"?"))</f>
        <v/>
      </c>
    </row>
    <row r="104">
      <c r="A104" s="2" t="n">
        <v>86</v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1">
        <f>IF(OR(B104="",C104=""),"",IFERROR(INDEX('Evaluation table'!$B$4:$F$8,MATCH(TRIM(SUBSTITUTE(B104,"’","'")),'Evaluation table'!$A$4:$A$8,0),MATCH(TRIM(SUBSTITUTE(C104,"’","'")),'Evaluation table'!$B$3:$F$3,0)),"?"))</f>
        <v/>
      </c>
      <c r="O104" s="11">
        <f>IF(OR(D104="",E104=""),"",IFERROR(INDEX('Evaluation table'!$B$4:$F$8,MATCH(TRIM(SUBSTITUTE(D104,"’","'")),'Evaluation table'!$A$4:$A$8,0),MATCH(TRIM(SUBSTITUTE(E104,"’","'")),'Evaluation table'!$B$3:$F$3,0)),"?"))</f>
        <v/>
      </c>
      <c r="P104" s="11">
        <f>IF(OR(F104="",G104=""),"",IFERROR(INDEX('Evaluation table'!$B$4:$F$8,MATCH(TRIM(SUBSTITUTE(F104,"’","'")),'Evaluation table'!$A$4:$A$8,0),MATCH(TRIM(SUBSTITUTE(G104,"’","'")),'Evaluation table'!$B$3:$F$3,0)),"?"))</f>
        <v/>
      </c>
      <c r="Q104" s="11">
        <f>IF(OR(H104="",I104=""),"",IFERROR(INDEX('Evaluation table'!$B$4:$F$8,MATCH(TRIM(SUBSTITUTE(H104,"’","'")),'Evaluation table'!$A$4:$A$8,0),MATCH(TRIM(SUBSTITUTE(I104,"’","'")),'Evaluation table'!$B$3:$F$3,0)),"?"))</f>
        <v/>
      </c>
      <c r="R104" s="11">
        <f>IF(OR(J104="",K104=""),"",IFERROR(INDEX('Evaluation table'!$B$4:$F$8,MATCH(TRIM(SUBSTITUTE(J104,"’","'")),'Evaluation table'!$A$4:$A$8,0),MATCH(TRIM(SUBSTITUTE(K104,"’","'")),'Evaluation table'!$B$3:$F$3,0)),"?"))</f>
        <v/>
      </c>
      <c r="S104" s="11">
        <f>IF(OR(L104="",M104=""),"",IFERROR(INDEX('Evaluation table'!$B$4:$F$8,MATCH(TRIM(SUBSTITUTE(L104,"’","'")),'Evaluation table'!$A$4:$A$8,0),MATCH(TRIM(SUBSTITUTE(M104,"’","'")),'Evaluation table'!$B$3:$F$3,0)),"?"))</f>
        <v/>
      </c>
    </row>
    <row r="105">
      <c r="A105" s="2" t="n">
        <v>87</v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1">
        <f>IF(OR(B105="",C105=""),"",IFERROR(INDEX('Evaluation table'!$B$4:$F$8,MATCH(TRIM(SUBSTITUTE(B105,"’","'")),'Evaluation table'!$A$4:$A$8,0),MATCH(TRIM(SUBSTITUTE(C105,"’","'")),'Evaluation table'!$B$3:$F$3,0)),"?"))</f>
        <v/>
      </c>
      <c r="O105" s="11">
        <f>IF(OR(D105="",E105=""),"",IFERROR(INDEX('Evaluation table'!$B$4:$F$8,MATCH(TRIM(SUBSTITUTE(D105,"’","'")),'Evaluation table'!$A$4:$A$8,0),MATCH(TRIM(SUBSTITUTE(E105,"’","'")),'Evaluation table'!$B$3:$F$3,0)),"?"))</f>
        <v/>
      </c>
      <c r="P105" s="11">
        <f>IF(OR(F105="",G105=""),"",IFERROR(INDEX('Evaluation table'!$B$4:$F$8,MATCH(TRIM(SUBSTITUTE(F105,"’","'")),'Evaluation table'!$A$4:$A$8,0),MATCH(TRIM(SUBSTITUTE(G105,"’","'")),'Evaluation table'!$B$3:$F$3,0)),"?"))</f>
        <v/>
      </c>
      <c r="Q105" s="11">
        <f>IF(OR(H105="",I105=""),"",IFERROR(INDEX('Evaluation table'!$B$4:$F$8,MATCH(TRIM(SUBSTITUTE(H105,"’","'")),'Evaluation table'!$A$4:$A$8,0),MATCH(TRIM(SUBSTITUTE(I105,"’","'")),'Evaluation table'!$B$3:$F$3,0)),"?"))</f>
        <v/>
      </c>
      <c r="R105" s="11">
        <f>IF(OR(J105="",K105=""),"",IFERROR(INDEX('Evaluation table'!$B$4:$F$8,MATCH(TRIM(SUBSTITUTE(J105,"’","'")),'Evaluation table'!$A$4:$A$8,0),MATCH(TRIM(SUBSTITUTE(K105,"’","'")),'Evaluation table'!$B$3:$F$3,0)),"?"))</f>
        <v/>
      </c>
      <c r="S105" s="11">
        <f>IF(OR(L105="",M105=""),"",IFERROR(INDEX('Evaluation table'!$B$4:$F$8,MATCH(TRIM(SUBSTITUTE(L105,"’","'")),'Evaluation table'!$A$4:$A$8,0),MATCH(TRIM(SUBSTITUTE(M105,"’","'")),'Evaluation table'!$B$3:$F$3,0)),"?"))</f>
        <v/>
      </c>
    </row>
    <row r="106">
      <c r="A106" s="2" t="n">
        <v>88</v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1">
        <f>IF(OR(B106="",C106=""),"",IFERROR(INDEX('Evaluation table'!$B$4:$F$8,MATCH(TRIM(SUBSTITUTE(B106,"’","'")),'Evaluation table'!$A$4:$A$8,0),MATCH(TRIM(SUBSTITUTE(C106,"’","'")),'Evaluation table'!$B$3:$F$3,0)),"?"))</f>
        <v/>
      </c>
      <c r="O106" s="11">
        <f>IF(OR(D106="",E106=""),"",IFERROR(INDEX('Evaluation table'!$B$4:$F$8,MATCH(TRIM(SUBSTITUTE(D106,"’","'")),'Evaluation table'!$A$4:$A$8,0),MATCH(TRIM(SUBSTITUTE(E106,"’","'")),'Evaluation table'!$B$3:$F$3,0)),"?"))</f>
        <v/>
      </c>
      <c r="P106" s="11">
        <f>IF(OR(F106="",G106=""),"",IFERROR(INDEX('Evaluation table'!$B$4:$F$8,MATCH(TRIM(SUBSTITUTE(F106,"’","'")),'Evaluation table'!$A$4:$A$8,0),MATCH(TRIM(SUBSTITUTE(G106,"’","'")),'Evaluation table'!$B$3:$F$3,0)),"?"))</f>
        <v/>
      </c>
      <c r="Q106" s="11">
        <f>IF(OR(H106="",I106=""),"",IFERROR(INDEX('Evaluation table'!$B$4:$F$8,MATCH(TRIM(SUBSTITUTE(H106,"’","'")),'Evaluation table'!$A$4:$A$8,0),MATCH(TRIM(SUBSTITUTE(I106,"’","'")),'Evaluation table'!$B$3:$F$3,0)),"?"))</f>
        <v/>
      </c>
      <c r="R106" s="11">
        <f>IF(OR(J106="",K106=""),"",IFERROR(INDEX('Evaluation table'!$B$4:$F$8,MATCH(TRIM(SUBSTITUTE(J106,"’","'")),'Evaluation table'!$A$4:$A$8,0),MATCH(TRIM(SUBSTITUTE(K106,"’","'")),'Evaluation table'!$B$3:$F$3,0)),"?"))</f>
        <v/>
      </c>
      <c r="S106" s="11">
        <f>IF(OR(L106="",M106=""),"",IFERROR(INDEX('Evaluation table'!$B$4:$F$8,MATCH(TRIM(SUBSTITUTE(L106,"’","'")),'Evaluation table'!$A$4:$A$8,0),MATCH(TRIM(SUBSTITUTE(M106,"’","'")),'Evaluation table'!$B$3:$F$3,0)),"?"))</f>
        <v/>
      </c>
    </row>
    <row r="107">
      <c r="A107" s="2" t="n">
        <v>89</v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1">
        <f>IF(OR(B107="",C107=""),"",IFERROR(INDEX('Evaluation table'!$B$4:$F$8,MATCH(TRIM(SUBSTITUTE(B107,"’","'")),'Evaluation table'!$A$4:$A$8,0),MATCH(TRIM(SUBSTITUTE(C107,"’","'")),'Evaluation table'!$B$3:$F$3,0)),"?"))</f>
        <v/>
      </c>
      <c r="O107" s="11">
        <f>IF(OR(D107="",E107=""),"",IFERROR(INDEX('Evaluation table'!$B$4:$F$8,MATCH(TRIM(SUBSTITUTE(D107,"’","'")),'Evaluation table'!$A$4:$A$8,0),MATCH(TRIM(SUBSTITUTE(E107,"’","'")),'Evaluation table'!$B$3:$F$3,0)),"?"))</f>
        <v/>
      </c>
      <c r="P107" s="11">
        <f>IF(OR(F107="",G107=""),"",IFERROR(INDEX('Evaluation table'!$B$4:$F$8,MATCH(TRIM(SUBSTITUTE(F107,"’","'")),'Evaluation table'!$A$4:$A$8,0),MATCH(TRIM(SUBSTITUTE(G107,"’","'")),'Evaluation table'!$B$3:$F$3,0)),"?"))</f>
        <v/>
      </c>
      <c r="Q107" s="11">
        <f>IF(OR(H107="",I107=""),"",IFERROR(INDEX('Evaluation table'!$B$4:$F$8,MATCH(TRIM(SUBSTITUTE(H107,"’","'")),'Evaluation table'!$A$4:$A$8,0),MATCH(TRIM(SUBSTITUTE(I107,"’","'")),'Evaluation table'!$B$3:$F$3,0)),"?"))</f>
        <v/>
      </c>
      <c r="R107" s="11">
        <f>IF(OR(J107="",K107=""),"",IFERROR(INDEX('Evaluation table'!$B$4:$F$8,MATCH(TRIM(SUBSTITUTE(J107,"’","'")),'Evaluation table'!$A$4:$A$8,0),MATCH(TRIM(SUBSTITUTE(K107,"’","'")),'Evaluation table'!$B$3:$F$3,0)),"?"))</f>
        <v/>
      </c>
      <c r="S107" s="11">
        <f>IF(OR(L107="",M107=""),"",IFERROR(INDEX('Evaluation table'!$B$4:$F$8,MATCH(TRIM(SUBSTITUTE(L107,"’","'")),'Evaluation table'!$A$4:$A$8,0),MATCH(TRIM(SUBSTITUTE(M107,"’","'")),'Evaluation table'!$B$3:$F$3,0)),"?"))</f>
        <v/>
      </c>
    </row>
    <row r="108">
      <c r="A108" s="2" t="n">
        <v>90</v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1">
        <f>IF(OR(B108="",C108=""),"",IFERROR(INDEX('Evaluation table'!$B$4:$F$8,MATCH(TRIM(SUBSTITUTE(B108,"’","'")),'Evaluation table'!$A$4:$A$8,0),MATCH(TRIM(SUBSTITUTE(C108,"’","'")),'Evaluation table'!$B$3:$F$3,0)),"?"))</f>
        <v/>
      </c>
      <c r="O108" s="11">
        <f>IF(OR(D108="",E108=""),"",IFERROR(INDEX('Evaluation table'!$B$4:$F$8,MATCH(TRIM(SUBSTITUTE(D108,"’","'")),'Evaluation table'!$A$4:$A$8,0),MATCH(TRIM(SUBSTITUTE(E108,"’","'")),'Evaluation table'!$B$3:$F$3,0)),"?"))</f>
        <v/>
      </c>
      <c r="P108" s="11">
        <f>IF(OR(F108="",G108=""),"",IFERROR(INDEX('Evaluation table'!$B$4:$F$8,MATCH(TRIM(SUBSTITUTE(F108,"’","'")),'Evaluation table'!$A$4:$A$8,0),MATCH(TRIM(SUBSTITUTE(G108,"’","'")),'Evaluation table'!$B$3:$F$3,0)),"?"))</f>
        <v/>
      </c>
      <c r="Q108" s="11">
        <f>IF(OR(H108="",I108=""),"",IFERROR(INDEX('Evaluation table'!$B$4:$F$8,MATCH(TRIM(SUBSTITUTE(H108,"’","'")),'Evaluation table'!$A$4:$A$8,0),MATCH(TRIM(SUBSTITUTE(I108,"’","'")),'Evaluation table'!$B$3:$F$3,0)),"?"))</f>
        <v/>
      </c>
      <c r="R108" s="11">
        <f>IF(OR(J108="",K108=""),"",IFERROR(INDEX('Evaluation table'!$B$4:$F$8,MATCH(TRIM(SUBSTITUTE(J108,"’","'")),'Evaluation table'!$A$4:$A$8,0),MATCH(TRIM(SUBSTITUTE(K108,"’","'")),'Evaluation table'!$B$3:$F$3,0)),"?"))</f>
        <v/>
      </c>
      <c r="S108" s="11">
        <f>IF(OR(L108="",M108=""),"",IFERROR(INDEX('Evaluation table'!$B$4:$F$8,MATCH(TRIM(SUBSTITUTE(L108,"’","'")),'Evaluation table'!$A$4:$A$8,0),MATCH(TRIM(SUBSTITUTE(M108,"’","'")),'Evaluation table'!$B$3:$F$3,0)),"?"))</f>
        <v/>
      </c>
    </row>
    <row r="109">
      <c r="A109" s="2" t="n">
        <v>91</v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1">
        <f>IF(OR(B109="",C109=""),"",IFERROR(INDEX('Evaluation table'!$B$4:$F$8,MATCH(TRIM(SUBSTITUTE(B109,"’","'")),'Evaluation table'!$A$4:$A$8,0),MATCH(TRIM(SUBSTITUTE(C109,"’","'")),'Evaluation table'!$B$3:$F$3,0)),"?"))</f>
        <v/>
      </c>
      <c r="O109" s="11">
        <f>IF(OR(D109="",E109=""),"",IFERROR(INDEX('Evaluation table'!$B$4:$F$8,MATCH(TRIM(SUBSTITUTE(D109,"’","'")),'Evaluation table'!$A$4:$A$8,0),MATCH(TRIM(SUBSTITUTE(E109,"’","'")),'Evaluation table'!$B$3:$F$3,0)),"?"))</f>
        <v/>
      </c>
      <c r="P109" s="11">
        <f>IF(OR(F109="",G109=""),"",IFERROR(INDEX('Evaluation table'!$B$4:$F$8,MATCH(TRIM(SUBSTITUTE(F109,"’","'")),'Evaluation table'!$A$4:$A$8,0),MATCH(TRIM(SUBSTITUTE(G109,"’","'")),'Evaluation table'!$B$3:$F$3,0)),"?"))</f>
        <v/>
      </c>
      <c r="Q109" s="11">
        <f>IF(OR(H109="",I109=""),"",IFERROR(INDEX('Evaluation table'!$B$4:$F$8,MATCH(TRIM(SUBSTITUTE(H109,"’","'")),'Evaluation table'!$A$4:$A$8,0),MATCH(TRIM(SUBSTITUTE(I109,"’","'")),'Evaluation table'!$B$3:$F$3,0)),"?"))</f>
        <v/>
      </c>
      <c r="R109" s="11">
        <f>IF(OR(J109="",K109=""),"",IFERROR(INDEX('Evaluation table'!$B$4:$F$8,MATCH(TRIM(SUBSTITUTE(J109,"’","'")),'Evaluation table'!$A$4:$A$8,0),MATCH(TRIM(SUBSTITUTE(K109,"’","'")),'Evaluation table'!$B$3:$F$3,0)),"?"))</f>
        <v/>
      </c>
      <c r="S109" s="11">
        <f>IF(OR(L109="",M109=""),"",IFERROR(INDEX('Evaluation table'!$B$4:$F$8,MATCH(TRIM(SUBSTITUTE(L109,"’","'")),'Evaluation table'!$A$4:$A$8,0),MATCH(TRIM(SUBSTITUTE(M109,"’","'")),'Evaluation table'!$B$3:$F$3,0)),"?"))</f>
        <v/>
      </c>
    </row>
    <row r="110">
      <c r="A110" s="2" t="n">
        <v>92</v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1">
        <f>IF(OR(B110="",C110=""),"",IFERROR(INDEX('Evaluation table'!$B$4:$F$8,MATCH(TRIM(SUBSTITUTE(B110,"’","'")),'Evaluation table'!$A$4:$A$8,0),MATCH(TRIM(SUBSTITUTE(C110,"’","'")),'Evaluation table'!$B$3:$F$3,0)),"?"))</f>
        <v/>
      </c>
      <c r="O110" s="11">
        <f>IF(OR(D110="",E110=""),"",IFERROR(INDEX('Evaluation table'!$B$4:$F$8,MATCH(TRIM(SUBSTITUTE(D110,"’","'")),'Evaluation table'!$A$4:$A$8,0),MATCH(TRIM(SUBSTITUTE(E110,"’","'")),'Evaluation table'!$B$3:$F$3,0)),"?"))</f>
        <v/>
      </c>
      <c r="P110" s="11">
        <f>IF(OR(F110="",G110=""),"",IFERROR(INDEX('Evaluation table'!$B$4:$F$8,MATCH(TRIM(SUBSTITUTE(F110,"’","'")),'Evaluation table'!$A$4:$A$8,0),MATCH(TRIM(SUBSTITUTE(G110,"’","'")),'Evaluation table'!$B$3:$F$3,0)),"?"))</f>
        <v/>
      </c>
      <c r="Q110" s="11">
        <f>IF(OR(H110="",I110=""),"",IFERROR(INDEX('Evaluation table'!$B$4:$F$8,MATCH(TRIM(SUBSTITUTE(H110,"’","'")),'Evaluation table'!$A$4:$A$8,0),MATCH(TRIM(SUBSTITUTE(I110,"’","'")),'Evaluation table'!$B$3:$F$3,0)),"?"))</f>
        <v/>
      </c>
      <c r="R110" s="11">
        <f>IF(OR(J110="",K110=""),"",IFERROR(INDEX('Evaluation table'!$B$4:$F$8,MATCH(TRIM(SUBSTITUTE(J110,"’","'")),'Evaluation table'!$A$4:$A$8,0),MATCH(TRIM(SUBSTITUTE(K110,"’","'")),'Evaluation table'!$B$3:$F$3,0)),"?"))</f>
        <v/>
      </c>
      <c r="S110" s="11">
        <f>IF(OR(L110="",M110=""),"",IFERROR(INDEX('Evaluation table'!$B$4:$F$8,MATCH(TRIM(SUBSTITUTE(L110,"’","'")),'Evaluation table'!$A$4:$A$8,0),MATCH(TRIM(SUBSTITUTE(M110,"’","'")),'Evaluation table'!$B$3:$F$3,0)),"?"))</f>
        <v/>
      </c>
    </row>
    <row r="111">
      <c r="A111" s="2" t="n">
        <v>93</v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1">
        <f>IF(OR(B111="",C111=""),"",IFERROR(INDEX('Evaluation table'!$B$4:$F$8,MATCH(TRIM(SUBSTITUTE(B111,"’","'")),'Evaluation table'!$A$4:$A$8,0),MATCH(TRIM(SUBSTITUTE(C111,"’","'")),'Evaluation table'!$B$3:$F$3,0)),"?"))</f>
        <v/>
      </c>
      <c r="O111" s="11">
        <f>IF(OR(D111="",E111=""),"",IFERROR(INDEX('Evaluation table'!$B$4:$F$8,MATCH(TRIM(SUBSTITUTE(D111,"’","'")),'Evaluation table'!$A$4:$A$8,0),MATCH(TRIM(SUBSTITUTE(E111,"’","'")),'Evaluation table'!$B$3:$F$3,0)),"?"))</f>
        <v/>
      </c>
      <c r="P111" s="11">
        <f>IF(OR(F111="",G111=""),"",IFERROR(INDEX('Evaluation table'!$B$4:$F$8,MATCH(TRIM(SUBSTITUTE(F111,"’","'")),'Evaluation table'!$A$4:$A$8,0),MATCH(TRIM(SUBSTITUTE(G111,"’","'")),'Evaluation table'!$B$3:$F$3,0)),"?"))</f>
        <v/>
      </c>
      <c r="Q111" s="11">
        <f>IF(OR(H111="",I111=""),"",IFERROR(INDEX('Evaluation table'!$B$4:$F$8,MATCH(TRIM(SUBSTITUTE(H111,"’","'")),'Evaluation table'!$A$4:$A$8,0),MATCH(TRIM(SUBSTITUTE(I111,"’","'")),'Evaluation table'!$B$3:$F$3,0)),"?"))</f>
        <v/>
      </c>
      <c r="R111" s="11">
        <f>IF(OR(J111="",K111=""),"",IFERROR(INDEX('Evaluation table'!$B$4:$F$8,MATCH(TRIM(SUBSTITUTE(J111,"’","'")),'Evaluation table'!$A$4:$A$8,0),MATCH(TRIM(SUBSTITUTE(K111,"’","'")),'Evaluation table'!$B$3:$F$3,0)),"?"))</f>
        <v/>
      </c>
      <c r="S111" s="11">
        <f>IF(OR(L111="",M111=""),"",IFERROR(INDEX('Evaluation table'!$B$4:$F$8,MATCH(TRIM(SUBSTITUTE(L111,"’","'")),'Evaluation table'!$A$4:$A$8,0),MATCH(TRIM(SUBSTITUTE(M111,"’","'")),'Evaluation table'!$B$3:$F$3,0)),"?"))</f>
        <v/>
      </c>
    </row>
    <row r="112">
      <c r="A112" s="2" t="n">
        <v>94</v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1">
        <f>IF(OR(B112="",C112=""),"",IFERROR(INDEX('Evaluation table'!$B$4:$F$8,MATCH(TRIM(SUBSTITUTE(B112,"’","'")),'Evaluation table'!$A$4:$A$8,0),MATCH(TRIM(SUBSTITUTE(C112,"’","'")),'Evaluation table'!$B$3:$F$3,0)),"?"))</f>
        <v/>
      </c>
      <c r="O112" s="11">
        <f>IF(OR(D112="",E112=""),"",IFERROR(INDEX('Evaluation table'!$B$4:$F$8,MATCH(TRIM(SUBSTITUTE(D112,"’","'")),'Evaluation table'!$A$4:$A$8,0),MATCH(TRIM(SUBSTITUTE(E112,"’","'")),'Evaluation table'!$B$3:$F$3,0)),"?"))</f>
        <v/>
      </c>
      <c r="P112" s="11">
        <f>IF(OR(F112="",G112=""),"",IFERROR(INDEX('Evaluation table'!$B$4:$F$8,MATCH(TRIM(SUBSTITUTE(F112,"’","'")),'Evaluation table'!$A$4:$A$8,0),MATCH(TRIM(SUBSTITUTE(G112,"’","'")),'Evaluation table'!$B$3:$F$3,0)),"?"))</f>
        <v/>
      </c>
      <c r="Q112" s="11">
        <f>IF(OR(H112="",I112=""),"",IFERROR(INDEX('Evaluation table'!$B$4:$F$8,MATCH(TRIM(SUBSTITUTE(H112,"’","'")),'Evaluation table'!$A$4:$A$8,0),MATCH(TRIM(SUBSTITUTE(I112,"’","'")),'Evaluation table'!$B$3:$F$3,0)),"?"))</f>
        <v/>
      </c>
      <c r="R112" s="11">
        <f>IF(OR(J112="",K112=""),"",IFERROR(INDEX('Evaluation table'!$B$4:$F$8,MATCH(TRIM(SUBSTITUTE(J112,"’","'")),'Evaluation table'!$A$4:$A$8,0),MATCH(TRIM(SUBSTITUTE(K112,"’","'")),'Evaluation table'!$B$3:$F$3,0)),"?"))</f>
        <v/>
      </c>
      <c r="S112" s="11">
        <f>IF(OR(L112="",M112=""),"",IFERROR(INDEX('Evaluation table'!$B$4:$F$8,MATCH(TRIM(SUBSTITUTE(L112,"’","'")),'Evaluation table'!$A$4:$A$8,0),MATCH(TRIM(SUBSTITUTE(M112,"’","'")),'Evaluation table'!$B$3:$F$3,0)),"?"))</f>
        <v/>
      </c>
    </row>
    <row r="113">
      <c r="A113" s="2" t="n">
        <v>95</v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1">
        <f>IF(OR(B113="",C113=""),"",IFERROR(INDEX('Evaluation table'!$B$4:$F$8,MATCH(TRIM(SUBSTITUTE(B113,"’","'")),'Evaluation table'!$A$4:$A$8,0),MATCH(TRIM(SUBSTITUTE(C113,"’","'")),'Evaluation table'!$B$3:$F$3,0)),"?"))</f>
        <v/>
      </c>
      <c r="O113" s="11">
        <f>IF(OR(D113="",E113=""),"",IFERROR(INDEX('Evaluation table'!$B$4:$F$8,MATCH(TRIM(SUBSTITUTE(D113,"’","'")),'Evaluation table'!$A$4:$A$8,0),MATCH(TRIM(SUBSTITUTE(E113,"’","'")),'Evaluation table'!$B$3:$F$3,0)),"?"))</f>
        <v/>
      </c>
      <c r="P113" s="11">
        <f>IF(OR(F113="",G113=""),"",IFERROR(INDEX('Evaluation table'!$B$4:$F$8,MATCH(TRIM(SUBSTITUTE(F113,"’","'")),'Evaluation table'!$A$4:$A$8,0),MATCH(TRIM(SUBSTITUTE(G113,"’","'")),'Evaluation table'!$B$3:$F$3,0)),"?"))</f>
        <v/>
      </c>
      <c r="Q113" s="11">
        <f>IF(OR(H113="",I113=""),"",IFERROR(INDEX('Evaluation table'!$B$4:$F$8,MATCH(TRIM(SUBSTITUTE(H113,"’","'")),'Evaluation table'!$A$4:$A$8,0),MATCH(TRIM(SUBSTITUTE(I113,"’","'")),'Evaluation table'!$B$3:$F$3,0)),"?"))</f>
        <v/>
      </c>
      <c r="R113" s="11">
        <f>IF(OR(J113="",K113=""),"",IFERROR(INDEX('Evaluation table'!$B$4:$F$8,MATCH(TRIM(SUBSTITUTE(J113,"’","'")),'Evaluation table'!$A$4:$A$8,0),MATCH(TRIM(SUBSTITUTE(K113,"’","'")),'Evaluation table'!$B$3:$F$3,0)),"?"))</f>
        <v/>
      </c>
      <c r="S113" s="11">
        <f>IF(OR(L113="",M113=""),"",IFERROR(INDEX('Evaluation table'!$B$4:$F$8,MATCH(TRIM(SUBSTITUTE(L113,"’","'")),'Evaluation table'!$A$4:$A$8,0),MATCH(TRIM(SUBSTITUTE(M113,"’","'")),'Evaluation table'!$B$3:$F$3,0)),"?"))</f>
        <v/>
      </c>
    </row>
    <row r="114">
      <c r="A114" s="2" t="n">
        <v>96</v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1">
        <f>IF(OR(B114="",C114=""),"",IFERROR(INDEX('Evaluation table'!$B$4:$F$8,MATCH(TRIM(SUBSTITUTE(B114,"’","'")),'Evaluation table'!$A$4:$A$8,0),MATCH(TRIM(SUBSTITUTE(C114,"’","'")),'Evaluation table'!$B$3:$F$3,0)),"?"))</f>
        <v/>
      </c>
      <c r="O114" s="11">
        <f>IF(OR(D114="",E114=""),"",IFERROR(INDEX('Evaluation table'!$B$4:$F$8,MATCH(TRIM(SUBSTITUTE(D114,"’","'")),'Evaluation table'!$A$4:$A$8,0),MATCH(TRIM(SUBSTITUTE(E114,"’","'")),'Evaluation table'!$B$3:$F$3,0)),"?"))</f>
        <v/>
      </c>
      <c r="P114" s="11">
        <f>IF(OR(F114="",G114=""),"",IFERROR(INDEX('Evaluation table'!$B$4:$F$8,MATCH(TRIM(SUBSTITUTE(F114,"’","'")),'Evaluation table'!$A$4:$A$8,0),MATCH(TRIM(SUBSTITUTE(G114,"’","'")),'Evaluation table'!$B$3:$F$3,0)),"?"))</f>
        <v/>
      </c>
      <c r="Q114" s="11">
        <f>IF(OR(H114="",I114=""),"",IFERROR(INDEX('Evaluation table'!$B$4:$F$8,MATCH(TRIM(SUBSTITUTE(H114,"’","'")),'Evaluation table'!$A$4:$A$8,0),MATCH(TRIM(SUBSTITUTE(I114,"’","'")),'Evaluation table'!$B$3:$F$3,0)),"?"))</f>
        <v/>
      </c>
      <c r="R114" s="11">
        <f>IF(OR(J114="",K114=""),"",IFERROR(INDEX('Evaluation table'!$B$4:$F$8,MATCH(TRIM(SUBSTITUTE(J114,"’","'")),'Evaluation table'!$A$4:$A$8,0),MATCH(TRIM(SUBSTITUTE(K114,"’","'")),'Evaluation table'!$B$3:$F$3,0)),"?"))</f>
        <v/>
      </c>
      <c r="S114" s="11">
        <f>IF(OR(L114="",M114=""),"",IFERROR(INDEX('Evaluation table'!$B$4:$F$8,MATCH(TRIM(SUBSTITUTE(L114,"’","'")),'Evaluation table'!$A$4:$A$8,0),MATCH(TRIM(SUBSTITUTE(M114,"’","'")),'Evaluation table'!$B$3:$F$3,0)),"?"))</f>
        <v/>
      </c>
    </row>
    <row r="115">
      <c r="A115" s="2" t="n">
        <v>97</v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1">
        <f>IF(OR(B115="",C115=""),"",IFERROR(INDEX('Evaluation table'!$B$4:$F$8,MATCH(TRIM(SUBSTITUTE(B115,"’","'")),'Evaluation table'!$A$4:$A$8,0),MATCH(TRIM(SUBSTITUTE(C115,"’","'")),'Evaluation table'!$B$3:$F$3,0)),"?"))</f>
        <v/>
      </c>
      <c r="O115" s="11">
        <f>IF(OR(D115="",E115=""),"",IFERROR(INDEX('Evaluation table'!$B$4:$F$8,MATCH(TRIM(SUBSTITUTE(D115,"’","'")),'Evaluation table'!$A$4:$A$8,0),MATCH(TRIM(SUBSTITUTE(E115,"’","'")),'Evaluation table'!$B$3:$F$3,0)),"?"))</f>
        <v/>
      </c>
      <c r="P115" s="11">
        <f>IF(OR(F115="",G115=""),"",IFERROR(INDEX('Evaluation table'!$B$4:$F$8,MATCH(TRIM(SUBSTITUTE(F115,"’","'")),'Evaluation table'!$A$4:$A$8,0),MATCH(TRIM(SUBSTITUTE(G115,"’","'")),'Evaluation table'!$B$3:$F$3,0)),"?"))</f>
        <v/>
      </c>
      <c r="Q115" s="11">
        <f>IF(OR(H115="",I115=""),"",IFERROR(INDEX('Evaluation table'!$B$4:$F$8,MATCH(TRIM(SUBSTITUTE(H115,"’","'")),'Evaluation table'!$A$4:$A$8,0),MATCH(TRIM(SUBSTITUTE(I115,"’","'")),'Evaluation table'!$B$3:$F$3,0)),"?"))</f>
        <v/>
      </c>
      <c r="R115" s="11">
        <f>IF(OR(J115="",K115=""),"",IFERROR(INDEX('Evaluation table'!$B$4:$F$8,MATCH(TRIM(SUBSTITUTE(J115,"’","'")),'Evaluation table'!$A$4:$A$8,0),MATCH(TRIM(SUBSTITUTE(K115,"’","'")),'Evaluation table'!$B$3:$F$3,0)),"?"))</f>
        <v/>
      </c>
      <c r="S115" s="11">
        <f>IF(OR(L115="",M115=""),"",IFERROR(INDEX('Evaluation table'!$B$4:$F$8,MATCH(TRIM(SUBSTITUTE(L115,"’","'")),'Evaluation table'!$A$4:$A$8,0),MATCH(TRIM(SUBSTITUTE(M115,"’","'")),'Evaluation table'!$B$3:$F$3,0)),"?"))</f>
        <v/>
      </c>
    </row>
    <row r="116">
      <c r="A116" s="2" t="n">
        <v>98</v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1">
        <f>IF(OR(B116="",C116=""),"",IFERROR(INDEX('Evaluation table'!$B$4:$F$8,MATCH(TRIM(SUBSTITUTE(B116,"’","'")),'Evaluation table'!$A$4:$A$8,0),MATCH(TRIM(SUBSTITUTE(C116,"’","'")),'Evaluation table'!$B$3:$F$3,0)),"?"))</f>
        <v/>
      </c>
      <c r="O116" s="11">
        <f>IF(OR(D116="",E116=""),"",IFERROR(INDEX('Evaluation table'!$B$4:$F$8,MATCH(TRIM(SUBSTITUTE(D116,"’","'")),'Evaluation table'!$A$4:$A$8,0),MATCH(TRIM(SUBSTITUTE(E116,"’","'")),'Evaluation table'!$B$3:$F$3,0)),"?"))</f>
        <v/>
      </c>
      <c r="P116" s="11">
        <f>IF(OR(F116="",G116=""),"",IFERROR(INDEX('Evaluation table'!$B$4:$F$8,MATCH(TRIM(SUBSTITUTE(F116,"’","'")),'Evaluation table'!$A$4:$A$8,0),MATCH(TRIM(SUBSTITUTE(G116,"’","'")),'Evaluation table'!$B$3:$F$3,0)),"?"))</f>
        <v/>
      </c>
      <c r="Q116" s="11">
        <f>IF(OR(H116="",I116=""),"",IFERROR(INDEX('Evaluation table'!$B$4:$F$8,MATCH(TRIM(SUBSTITUTE(H116,"’","'")),'Evaluation table'!$A$4:$A$8,0),MATCH(TRIM(SUBSTITUTE(I116,"’","'")),'Evaluation table'!$B$3:$F$3,0)),"?"))</f>
        <v/>
      </c>
      <c r="R116" s="11">
        <f>IF(OR(J116="",K116=""),"",IFERROR(INDEX('Evaluation table'!$B$4:$F$8,MATCH(TRIM(SUBSTITUTE(J116,"’","'")),'Evaluation table'!$A$4:$A$8,0),MATCH(TRIM(SUBSTITUTE(K116,"’","'")),'Evaluation table'!$B$3:$F$3,0)),"?"))</f>
        <v/>
      </c>
      <c r="S116" s="11">
        <f>IF(OR(L116="",M116=""),"",IFERROR(INDEX('Evaluation table'!$B$4:$F$8,MATCH(TRIM(SUBSTITUTE(L116,"’","'")),'Evaluation table'!$A$4:$A$8,0),MATCH(TRIM(SUBSTITUTE(M116,"’","'")),'Evaluation table'!$B$3:$F$3,0)),"?"))</f>
        <v/>
      </c>
    </row>
    <row r="117">
      <c r="A117" s="2" t="n">
        <v>99</v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1">
        <f>IF(OR(B117="",C117=""),"",IFERROR(INDEX('Evaluation table'!$B$4:$F$8,MATCH(TRIM(SUBSTITUTE(B117,"’","'")),'Evaluation table'!$A$4:$A$8,0),MATCH(TRIM(SUBSTITUTE(C117,"’","'")),'Evaluation table'!$B$3:$F$3,0)),"?"))</f>
        <v/>
      </c>
      <c r="O117" s="11">
        <f>IF(OR(D117="",E117=""),"",IFERROR(INDEX('Evaluation table'!$B$4:$F$8,MATCH(TRIM(SUBSTITUTE(D117,"’","'")),'Evaluation table'!$A$4:$A$8,0),MATCH(TRIM(SUBSTITUTE(E117,"’","'")),'Evaluation table'!$B$3:$F$3,0)),"?"))</f>
        <v/>
      </c>
      <c r="P117" s="11">
        <f>IF(OR(F117="",G117=""),"",IFERROR(INDEX('Evaluation table'!$B$4:$F$8,MATCH(TRIM(SUBSTITUTE(F117,"’","'")),'Evaluation table'!$A$4:$A$8,0),MATCH(TRIM(SUBSTITUTE(G117,"’","'")),'Evaluation table'!$B$3:$F$3,0)),"?"))</f>
        <v/>
      </c>
      <c r="Q117" s="11">
        <f>IF(OR(H117="",I117=""),"",IFERROR(INDEX('Evaluation table'!$B$4:$F$8,MATCH(TRIM(SUBSTITUTE(H117,"’","'")),'Evaluation table'!$A$4:$A$8,0),MATCH(TRIM(SUBSTITUTE(I117,"’","'")),'Evaluation table'!$B$3:$F$3,0)),"?"))</f>
        <v/>
      </c>
      <c r="R117" s="11">
        <f>IF(OR(J117="",K117=""),"",IFERROR(INDEX('Evaluation table'!$B$4:$F$8,MATCH(TRIM(SUBSTITUTE(J117,"’","'")),'Evaluation table'!$A$4:$A$8,0),MATCH(TRIM(SUBSTITUTE(K117,"’","'")),'Evaluation table'!$B$3:$F$3,0)),"?"))</f>
        <v/>
      </c>
      <c r="S117" s="11">
        <f>IF(OR(L117="",M117=""),"",IFERROR(INDEX('Evaluation table'!$B$4:$F$8,MATCH(TRIM(SUBSTITUTE(L117,"’","'")),'Evaluation table'!$A$4:$A$8,0),MATCH(TRIM(SUBSTITUTE(M117,"’","'")),'Evaluation table'!$B$3:$F$3,0)),"?"))</f>
        <v/>
      </c>
    </row>
    <row r="118">
      <c r="A118" s="2" t="n">
        <v>100</v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1">
        <f>IF(OR(B118="",C118=""),"",IFERROR(INDEX('Evaluation table'!$B$4:$F$8,MATCH(TRIM(SUBSTITUTE(B118,"’","'")),'Evaluation table'!$A$4:$A$8,0),MATCH(TRIM(SUBSTITUTE(C118,"’","'")),'Evaluation table'!$B$3:$F$3,0)),"?"))</f>
        <v/>
      </c>
      <c r="O118" s="11">
        <f>IF(OR(D118="",E118=""),"",IFERROR(INDEX('Evaluation table'!$B$4:$F$8,MATCH(TRIM(SUBSTITUTE(D118,"’","'")),'Evaluation table'!$A$4:$A$8,0),MATCH(TRIM(SUBSTITUTE(E118,"’","'")),'Evaluation table'!$B$3:$F$3,0)),"?"))</f>
        <v/>
      </c>
      <c r="P118" s="11">
        <f>IF(OR(F118="",G118=""),"",IFERROR(INDEX('Evaluation table'!$B$4:$F$8,MATCH(TRIM(SUBSTITUTE(F118,"’","'")),'Evaluation table'!$A$4:$A$8,0),MATCH(TRIM(SUBSTITUTE(G118,"’","'")),'Evaluation table'!$B$3:$F$3,0)),"?"))</f>
        <v/>
      </c>
      <c r="Q118" s="11">
        <f>IF(OR(H118="",I118=""),"",IFERROR(INDEX('Evaluation table'!$B$4:$F$8,MATCH(TRIM(SUBSTITUTE(H118,"’","'")),'Evaluation table'!$A$4:$A$8,0),MATCH(TRIM(SUBSTITUTE(I118,"’","'")),'Evaluation table'!$B$3:$F$3,0)),"?"))</f>
        <v/>
      </c>
      <c r="R118" s="11">
        <f>IF(OR(J118="",K118=""),"",IFERROR(INDEX('Evaluation table'!$B$4:$F$8,MATCH(TRIM(SUBSTITUTE(J118,"’","'")),'Evaluation table'!$A$4:$A$8,0),MATCH(TRIM(SUBSTITUTE(K118,"’","'")),'Evaluation table'!$B$3:$F$3,0)),"?"))</f>
        <v/>
      </c>
      <c r="S118" s="11">
        <f>IF(OR(L118="",M118=""),"",IFERROR(INDEX('Evaluation table'!$B$4:$F$8,MATCH(TRIM(SUBSTITUTE(L118,"’","'")),'Evaluation table'!$A$4:$A$8,0),MATCH(TRIM(SUBSTITUTE(M118,"’","'")),'Evaluation table'!$B$3:$F$3,0)),"?"))</f>
        <v/>
      </c>
    </row>
    <row r="119">
      <c r="A119" s="2" t="n">
        <v>101</v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1">
        <f>IF(OR(B119="",C119=""),"",IFERROR(INDEX('Evaluation table'!$B$4:$F$8,MATCH(TRIM(SUBSTITUTE(B119,"’","'")),'Evaluation table'!$A$4:$A$8,0),MATCH(TRIM(SUBSTITUTE(C119,"’","'")),'Evaluation table'!$B$3:$F$3,0)),"?"))</f>
        <v/>
      </c>
      <c r="O119" s="11">
        <f>IF(OR(D119="",E119=""),"",IFERROR(INDEX('Evaluation table'!$B$4:$F$8,MATCH(TRIM(SUBSTITUTE(D119,"’","'")),'Evaluation table'!$A$4:$A$8,0),MATCH(TRIM(SUBSTITUTE(E119,"’","'")),'Evaluation table'!$B$3:$F$3,0)),"?"))</f>
        <v/>
      </c>
      <c r="P119" s="11">
        <f>IF(OR(F119="",G119=""),"",IFERROR(INDEX('Evaluation table'!$B$4:$F$8,MATCH(TRIM(SUBSTITUTE(F119,"’","'")),'Evaluation table'!$A$4:$A$8,0),MATCH(TRIM(SUBSTITUTE(G119,"’","'")),'Evaluation table'!$B$3:$F$3,0)),"?"))</f>
        <v/>
      </c>
      <c r="Q119" s="11">
        <f>IF(OR(H119="",I119=""),"",IFERROR(INDEX('Evaluation table'!$B$4:$F$8,MATCH(TRIM(SUBSTITUTE(H119,"’","'")),'Evaluation table'!$A$4:$A$8,0),MATCH(TRIM(SUBSTITUTE(I119,"’","'")),'Evaluation table'!$B$3:$F$3,0)),"?"))</f>
        <v/>
      </c>
      <c r="R119" s="11">
        <f>IF(OR(J119="",K119=""),"",IFERROR(INDEX('Evaluation table'!$B$4:$F$8,MATCH(TRIM(SUBSTITUTE(J119,"’","'")),'Evaluation table'!$A$4:$A$8,0),MATCH(TRIM(SUBSTITUTE(K119,"’","'")),'Evaluation table'!$B$3:$F$3,0)),"?"))</f>
        <v/>
      </c>
      <c r="S119" s="11">
        <f>IF(OR(L119="",M119=""),"",IFERROR(INDEX('Evaluation table'!$B$4:$F$8,MATCH(TRIM(SUBSTITUTE(L119,"’","'")),'Evaluation table'!$A$4:$A$8,0),MATCH(TRIM(SUBSTITUTE(M119,"’","'")),'Evaluation table'!$B$3:$F$3,0)),"?"))</f>
        <v/>
      </c>
    </row>
    <row r="120">
      <c r="A120" s="2" t="n">
        <v>102</v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1">
        <f>IF(OR(B120="",C120=""),"",IFERROR(INDEX('Evaluation table'!$B$4:$F$8,MATCH(TRIM(SUBSTITUTE(B120,"’","'")),'Evaluation table'!$A$4:$A$8,0),MATCH(TRIM(SUBSTITUTE(C120,"’","'")),'Evaluation table'!$B$3:$F$3,0)),"?"))</f>
        <v/>
      </c>
      <c r="O120" s="11">
        <f>IF(OR(D120="",E120=""),"",IFERROR(INDEX('Evaluation table'!$B$4:$F$8,MATCH(TRIM(SUBSTITUTE(D120,"’","'")),'Evaluation table'!$A$4:$A$8,0),MATCH(TRIM(SUBSTITUTE(E120,"’","'")),'Evaluation table'!$B$3:$F$3,0)),"?"))</f>
        <v/>
      </c>
      <c r="P120" s="11">
        <f>IF(OR(F120="",G120=""),"",IFERROR(INDEX('Evaluation table'!$B$4:$F$8,MATCH(TRIM(SUBSTITUTE(F120,"’","'")),'Evaluation table'!$A$4:$A$8,0),MATCH(TRIM(SUBSTITUTE(G120,"’","'")),'Evaluation table'!$B$3:$F$3,0)),"?"))</f>
        <v/>
      </c>
      <c r="Q120" s="11">
        <f>IF(OR(H120="",I120=""),"",IFERROR(INDEX('Evaluation table'!$B$4:$F$8,MATCH(TRIM(SUBSTITUTE(H120,"’","'")),'Evaluation table'!$A$4:$A$8,0),MATCH(TRIM(SUBSTITUTE(I120,"’","'")),'Evaluation table'!$B$3:$F$3,0)),"?"))</f>
        <v/>
      </c>
      <c r="R120" s="11">
        <f>IF(OR(J120="",K120=""),"",IFERROR(INDEX('Evaluation table'!$B$4:$F$8,MATCH(TRIM(SUBSTITUTE(J120,"’","'")),'Evaluation table'!$A$4:$A$8,0),MATCH(TRIM(SUBSTITUTE(K120,"’","'")),'Evaluation table'!$B$3:$F$3,0)),"?"))</f>
        <v/>
      </c>
      <c r="S120" s="11">
        <f>IF(OR(L120="",M120=""),"",IFERROR(INDEX('Evaluation table'!$B$4:$F$8,MATCH(TRIM(SUBSTITUTE(L120,"’","'")),'Evaluation table'!$A$4:$A$8,0),MATCH(TRIM(SUBSTITUTE(M120,"’","'")),'Evaluation table'!$B$3:$F$3,0)),"?"))</f>
        <v/>
      </c>
    </row>
    <row r="121">
      <c r="A121" s="2" t="n">
        <v>103</v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1">
        <f>IF(OR(B121="",C121=""),"",IFERROR(INDEX('Evaluation table'!$B$4:$F$8,MATCH(TRIM(SUBSTITUTE(B121,"’","'")),'Evaluation table'!$A$4:$A$8,0),MATCH(TRIM(SUBSTITUTE(C121,"’","'")),'Evaluation table'!$B$3:$F$3,0)),"?"))</f>
        <v/>
      </c>
      <c r="O121" s="11">
        <f>IF(OR(D121="",E121=""),"",IFERROR(INDEX('Evaluation table'!$B$4:$F$8,MATCH(TRIM(SUBSTITUTE(D121,"’","'")),'Evaluation table'!$A$4:$A$8,0),MATCH(TRIM(SUBSTITUTE(E121,"’","'")),'Evaluation table'!$B$3:$F$3,0)),"?"))</f>
        <v/>
      </c>
      <c r="P121" s="11">
        <f>IF(OR(F121="",G121=""),"",IFERROR(INDEX('Evaluation table'!$B$4:$F$8,MATCH(TRIM(SUBSTITUTE(F121,"’","'")),'Evaluation table'!$A$4:$A$8,0),MATCH(TRIM(SUBSTITUTE(G121,"’","'")),'Evaluation table'!$B$3:$F$3,0)),"?"))</f>
        <v/>
      </c>
      <c r="Q121" s="11">
        <f>IF(OR(H121="",I121=""),"",IFERROR(INDEX('Evaluation table'!$B$4:$F$8,MATCH(TRIM(SUBSTITUTE(H121,"’","'")),'Evaluation table'!$A$4:$A$8,0),MATCH(TRIM(SUBSTITUTE(I121,"’","'")),'Evaluation table'!$B$3:$F$3,0)),"?"))</f>
        <v/>
      </c>
      <c r="R121" s="11">
        <f>IF(OR(J121="",K121=""),"",IFERROR(INDEX('Evaluation table'!$B$4:$F$8,MATCH(TRIM(SUBSTITUTE(J121,"’","'")),'Evaluation table'!$A$4:$A$8,0),MATCH(TRIM(SUBSTITUTE(K121,"’","'")),'Evaluation table'!$B$3:$F$3,0)),"?"))</f>
        <v/>
      </c>
      <c r="S121" s="11">
        <f>IF(OR(L121="",M121=""),"",IFERROR(INDEX('Evaluation table'!$B$4:$F$8,MATCH(TRIM(SUBSTITUTE(L121,"’","'")),'Evaluation table'!$A$4:$A$8,0),MATCH(TRIM(SUBSTITUTE(M121,"’","'")),'Evaluation table'!$B$3:$F$3,0)),"?"))</f>
        <v/>
      </c>
    </row>
    <row r="122">
      <c r="A122" s="2" t="n">
        <v>104</v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1">
        <f>IF(OR(B122="",C122=""),"",IFERROR(INDEX('Evaluation table'!$B$4:$F$8,MATCH(TRIM(SUBSTITUTE(B122,"’","'")),'Evaluation table'!$A$4:$A$8,0),MATCH(TRIM(SUBSTITUTE(C122,"’","'")),'Evaluation table'!$B$3:$F$3,0)),"?"))</f>
        <v/>
      </c>
      <c r="O122" s="11">
        <f>IF(OR(D122="",E122=""),"",IFERROR(INDEX('Evaluation table'!$B$4:$F$8,MATCH(TRIM(SUBSTITUTE(D122,"’","'")),'Evaluation table'!$A$4:$A$8,0),MATCH(TRIM(SUBSTITUTE(E122,"’","'")),'Evaluation table'!$B$3:$F$3,0)),"?"))</f>
        <v/>
      </c>
      <c r="P122" s="11">
        <f>IF(OR(F122="",G122=""),"",IFERROR(INDEX('Evaluation table'!$B$4:$F$8,MATCH(TRIM(SUBSTITUTE(F122,"’","'")),'Evaluation table'!$A$4:$A$8,0),MATCH(TRIM(SUBSTITUTE(G122,"’","'")),'Evaluation table'!$B$3:$F$3,0)),"?"))</f>
        <v/>
      </c>
      <c r="Q122" s="11">
        <f>IF(OR(H122="",I122=""),"",IFERROR(INDEX('Evaluation table'!$B$4:$F$8,MATCH(TRIM(SUBSTITUTE(H122,"’","'")),'Evaluation table'!$A$4:$A$8,0),MATCH(TRIM(SUBSTITUTE(I122,"’","'")),'Evaluation table'!$B$3:$F$3,0)),"?"))</f>
        <v/>
      </c>
      <c r="R122" s="11">
        <f>IF(OR(J122="",K122=""),"",IFERROR(INDEX('Evaluation table'!$B$4:$F$8,MATCH(TRIM(SUBSTITUTE(J122,"’","'")),'Evaluation table'!$A$4:$A$8,0),MATCH(TRIM(SUBSTITUTE(K122,"’","'")),'Evaluation table'!$B$3:$F$3,0)),"?"))</f>
        <v/>
      </c>
      <c r="S122" s="11">
        <f>IF(OR(L122="",M122=""),"",IFERROR(INDEX('Evaluation table'!$B$4:$F$8,MATCH(TRIM(SUBSTITUTE(L122,"’","'")),'Evaluation table'!$A$4:$A$8,0),MATCH(TRIM(SUBSTITUTE(M122,"’","'")),'Evaluation table'!$B$3:$F$3,0)),"?"))</f>
        <v/>
      </c>
    </row>
    <row r="123">
      <c r="A123" s="2" t="n">
        <v>105</v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1">
        <f>IF(OR(B123="",C123=""),"",IFERROR(INDEX('Evaluation table'!$B$4:$F$8,MATCH(TRIM(SUBSTITUTE(B123,"’","'")),'Evaluation table'!$A$4:$A$8,0),MATCH(TRIM(SUBSTITUTE(C123,"’","'")),'Evaluation table'!$B$3:$F$3,0)),"?"))</f>
        <v/>
      </c>
      <c r="O123" s="11">
        <f>IF(OR(D123="",E123=""),"",IFERROR(INDEX('Evaluation table'!$B$4:$F$8,MATCH(TRIM(SUBSTITUTE(D123,"’","'")),'Evaluation table'!$A$4:$A$8,0),MATCH(TRIM(SUBSTITUTE(E123,"’","'")),'Evaluation table'!$B$3:$F$3,0)),"?"))</f>
        <v/>
      </c>
      <c r="P123" s="11">
        <f>IF(OR(F123="",G123=""),"",IFERROR(INDEX('Evaluation table'!$B$4:$F$8,MATCH(TRIM(SUBSTITUTE(F123,"’","'")),'Evaluation table'!$A$4:$A$8,0),MATCH(TRIM(SUBSTITUTE(G123,"’","'")),'Evaluation table'!$B$3:$F$3,0)),"?"))</f>
        <v/>
      </c>
      <c r="Q123" s="11">
        <f>IF(OR(H123="",I123=""),"",IFERROR(INDEX('Evaluation table'!$B$4:$F$8,MATCH(TRIM(SUBSTITUTE(H123,"’","'")),'Evaluation table'!$A$4:$A$8,0),MATCH(TRIM(SUBSTITUTE(I123,"’","'")),'Evaluation table'!$B$3:$F$3,0)),"?"))</f>
        <v/>
      </c>
      <c r="R123" s="11">
        <f>IF(OR(J123="",K123=""),"",IFERROR(INDEX('Evaluation table'!$B$4:$F$8,MATCH(TRIM(SUBSTITUTE(J123,"’","'")),'Evaluation table'!$A$4:$A$8,0),MATCH(TRIM(SUBSTITUTE(K123,"’","'")),'Evaluation table'!$B$3:$F$3,0)),"?"))</f>
        <v/>
      </c>
      <c r="S123" s="11">
        <f>IF(OR(L123="",M123=""),"",IFERROR(INDEX('Evaluation table'!$B$4:$F$8,MATCH(TRIM(SUBSTITUTE(L123,"’","'")),'Evaluation table'!$A$4:$A$8,0),MATCH(TRIM(SUBSTITUTE(M123,"’","'")),'Evaluation table'!$B$3:$F$3,0)),"?"))</f>
        <v/>
      </c>
    </row>
    <row r="124">
      <c r="A124" s="2" t="n">
        <v>106</v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1">
        <f>IF(OR(B124="",C124=""),"",IFERROR(INDEX('Evaluation table'!$B$4:$F$8,MATCH(TRIM(SUBSTITUTE(B124,"’","'")),'Evaluation table'!$A$4:$A$8,0),MATCH(TRIM(SUBSTITUTE(C124,"’","'")),'Evaluation table'!$B$3:$F$3,0)),"?"))</f>
        <v/>
      </c>
      <c r="O124" s="11">
        <f>IF(OR(D124="",E124=""),"",IFERROR(INDEX('Evaluation table'!$B$4:$F$8,MATCH(TRIM(SUBSTITUTE(D124,"’","'")),'Evaluation table'!$A$4:$A$8,0),MATCH(TRIM(SUBSTITUTE(E124,"’","'")),'Evaluation table'!$B$3:$F$3,0)),"?"))</f>
        <v/>
      </c>
      <c r="P124" s="11">
        <f>IF(OR(F124="",G124=""),"",IFERROR(INDEX('Evaluation table'!$B$4:$F$8,MATCH(TRIM(SUBSTITUTE(F124,"’","'")),'Evaluation table'!$A$4:$A$8,0),MATCH(TRIM(SUBSTITUTE(G124,"’","'")),'Evaluation table'!$B$3:$F$3,0)),"?"))</f>
        <v/>
      </c>
      <c r="Q124" s="11">
        <f>IF(OR(H124="",I124=""),"",IFERROR(INDEX('Evaluation table'!$B$4:$F$8,MATCH(TRIM(SUBSTITUTE(H124,"’","'")),'Evaluation table'!$A$4:$A$8,0),MATCH(TRIM(SUBSTITUTE(I124,"’","'")),'Evaluation table'!$B$3:$F$3,0)),"?"))</f>
        <v/>
      </c>
      <c r="R124" s="11">
        <f>IF(OR(J124="",K124=""),"",IFERROR(INDEX('Evaluation table'!$B$4:$F$8,MATCH(TRIM(SUBSTITUTE(J124,"’","'")),'Evaluation table'!$A$4:$A$8,0),MATCH(TRIM(SUBSTITUTE(K124,"’","'")),'Evaluation table'!$B$3:$F$3,0)),"?"))</f>
        <v/>
      </c>
      <c r="S124" s="11">
        <f>IF(OR(L124="",M124=""),"",IFERROR(INDEX('Evaluation table'!$B$4:$F$8,MATCH(TRIM(SUBSTITUTE(L124,"’","'")),'Evaluation table'!$A$4:$A$8,0),MATCH(TRIM(SUBSTITUTE(M124,"’","'")),'Evaluation table'!$B$3:$F$3,0)),"?"))</f>
        <v/>
      </c>
    </row>
    <row r="125">
      <c r="A125" s="2" t="n">
        <v>107</v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1">
        <f>IF(OR(B125="",C125=""),"",IFERROR(INDEX('Evaluation table'!$B$4:$F$8,MATCH(TRIM(SUBSTITUTE(B125,"’","'")),'Evaluation table'!$A$4:$A$8,0),MATCH(TRIM(SUBSTITUTE(C125,"’","'")),'Evaluation table'!$B$3:$F$3,0)),"?"))</f>
        <v/>
      </c>
      <c r="O125" s="11">
        <f>IF(OR(D125="",E125=""),"",IFERROR(INDEX('Evaluation table'!$B$4:$F$8,MATCH(TRIM(SUBSTITUTE(D125,"’","'")),'Evaluation table'!$A$4:$A$8,0),MATCH(TRIM(SUBSTITUTE(E125,"’","'")),'Evaluation table'!$B$3:$F$3,0)),"?"))</f>
        <v/>
      </c>
      <c r="P125" s="11">
        <f>IF(OR(F125="",G125=""),"",IFERROR(INDEX('Evaluation table'!$B$4:$F$8,MATCH(TRIM(SUBSTITUTE(F125,"’","'")),'Evaluation table'!$A$4:$A$8,0),MATCH(TRIM(SUBSTITUTE(G125,"’","'")),'Evaluation table'!$B$3:$F$3,0)),"?"))</f>
        <v/>
      </c>
      <c r="Q125" s="11">
        <f>IF(OR(H125="",I125=""),"",IFERROR(INDEX('Evaluation table'!$B$4:$F$8,MATCH(TRIM(SUBSTITUTE(H125,"’","'")),'Evaluation table'!$A$4:$A$8,0),MATCH(TRIM(SUBSTITUTE(I125,"’","'")),'Evaluation table'!$B$3:$F$3,0)),"?"))</f>
        <v/>
      </c>
      <c r="R125" s="11">
        <f>IF(OR(J125="",K125=""),"",IFERROR(INDEX('Evaluation table'!$B$4:$F$8,MATCH(TRIM(SUBSTITUTE(J125,"’","'")),'Evaluation table'!$A$4:$A$8,0),MATCH(TRIM(SUBSTITUTE(K125,"’","'")),'Evaluation table'!$B$3:$F$3,0)),"?"))</f>
        <v/>
      </c>
      <c r="S125" s="11">
        <f>IF(OR(L125="",M125=""),"",IFERROR(INDEX('Evaluation table'!$B$4:$F$8,MATCH(TRIM(SUBSTITUTE(L125,"’","'")),'Evaluation table'!$A$4:$A$8,0),MATCH(TRIM(SUBSTITUTE(M125,"’","'")),'Evaluation table'!$B$3:$F$3,0)),"?"))</f>
        <v/>
      </c>
    </row>
    <row r="126">
      <c r="A126" s="2" t="n">
        <v>108</v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1">
        <f>IF(OR(B126="",C126=""),"",IFERROR(INDEX('Evaluation table'!$B$4:$F$8,MATCH(TRIM(SUBSTITUTE(B126,"’","'")),'Evaluation table'!$A$4:$A$8,0),MATCH(TRIM(SUBSTITUTE(C126,"’","'")),'Evaluation table'!$B$3:$F$3,0)),"?"))</f>
        <v/>
      </c>
      <c r="O126" s="11">
        <f>IF(OR(D126="",E126=""),"",IFERROR(INDEX('Evaluation table'!$B$4:$F$8,MATCH(TRIM(SUBSTITUTE(D126,"’","'")),'Evaluation table'!$A$4:$A$8,0),MATCH(TRIM(SUBSTITUTE(E126,"’","'")),'Evaluation table'!$B$3:$F$3,0)),"?"))</f>
        <v/>
      </c>
      <c r="P126" s="11">
        <f>IF(OR(F126="",G126=""),"",IFERROR(INDEX('Evaluation table'!$B$4:$F$8,MATCH(TRIM(SUBSTITUTE(F126,"’","'")),'Evaluation table'!$A$4:$A$8,0),MATCH(TRIM(SUBSTITUTE(G126,"’","'")),'Evaluation table'!$B$3:$F$3,0)),"?"))</f>
        <v/>
      </c>
      <c r="Q126" s="11">
        <f>IF(OR(H126="",I126=""),"",IFERROR(INDEX('Evaluation table'!$B$4:$F$8,MATCH(TRIM(SUBSTITUTE(H126,"’","'")),'Evaluation table'!$A$4:$A$8,0),MATCH(TRIM(SUBSTITUTE(I126,"’","'")),'Evaluation table'!$B$3:$F$3,0)),"?"))</f>
        <v/>
      </c>
      <c r="R126" s="11">
        <f>IF(OR(J126="",K126=""),"",IFERROR(INDEX('Evaluation table'!$B$4:$F$8,MATCH(TRIM(SUBSTITUTE(J126,"’","'")),'Evaluation table'!$A$4:$A$8,0),MATCH(TRIM(SUBSTITUTE(K126,"’","'")),'Evaluation table'!$B$3:$F$3,0)),"?"))</f>
        <v/>
      </c>
      <c r="S126" s="11">
        <f>IF(OR(L126="",M126=""),"",IFERROR(INDEX('Evaluation table'!$B$4:$F$8,MATCH(TRIM(SUBSTITUTE(L126,"’","'")),'Evaluation table'!$A$4:$A$8,0),MATCH(TRIM(SUBSTITUTE(M126,"’","'")),'Evaluation table'!$B$3:$F$3,0)),"?"))</f>
        <v/>
      </c>
    </row>
    <row r="127">
      <c r="A127" s="2" t="n">
        <v>109</v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1">
        <f>IF(OR(B127="",C127=""),"",IFERROR(INDEX('Evaluation table'!$B$4:$F$8,MATCH(TRIM(SUBSTITUTE(B127,"’","'")),'Evaluation table'!$A$4:$A$8,0),MATCH(TRIM(SUBSTITUTE(C127,"’","'")),'Evaluation table'!$B$3:$F$3,0)),"?"))</f>
        <v/>
      </c>
      <c r="O127" s="11">
        <f>IF(OR(D127="",E127=""),"",IFERROR(INDEX('Evaluation table'!$B$4:$F$8,MATCH(TRIM(SUBSTITUTE(D127,"’","'")),'Evaluation table'!$A$4:$A$8,0),MATCH(TRIM(SUBSTITUTE(E127,"’","'")),'Evaluation table'!$B$3:$F$3,0)),"?"))</f>
        <v/>
      </c>
      <c r="P127" s="11">
        <f>IF(OR(F127="",G127=""),"",IFERROR(INDEX('Evaluation table'!$B$4:$F$8,MATCH(TRIM(SUBSTITUTE(F127,"’","'")),'Evaluation table'!$A$4:$A$8,0),MATCH(TRIM(SUBSTITUTE(G127,"’","'")),'Evaluation table'!$B$3:$F$3,0)),"?"))</f>
        <v/>
      </c>
      <c r="Q127" s="11">
        <f>IF(OR(H127="",I127=""),"",IFERROR(INDEX('Evaluation table'!$B$4:$F$8,MATCH(TRIM(SUBSTITUTE(H127,"’","'")),'Evaluation table'!$A$4:$A$8,0),MATCH(TRIM(SUBSTITUTE(I127,"’","'")),'Evaluation table'!$B$3:$F$3,0)),"?"))</f>
        <v/>
      </c>
      <c r="R127" s="11">
        <f>IF(OR(J127="",K127=""),"",IFERROR(INDEX('Evaluation table'!$B$4:$F$8,MATCH(TRIM(SUBSTITUTE(J127,"’","'")),'Evaluation table'!$A$4:$A$8,0),MATCH(TRIM(SUBSTITUTE(K127,"’","'")),'Evaluation table'!$B$3:$F$3,0)),"?"))</f>
        <v/>
      </c>
      <c r="S127" s="11">
        <f>IF(OR(L127="",M127=""),"",IFERROR(INDEX('Evaluation table'!$B$4:$F$8,MATCH(TRIM(SUBSTITUTE(L127,"’","'")),'Evaluation table'!$A$4:$A$8,0),MATCH(TRIM(SUBSTITUTE(M127,"’","'")),'Evaluation table'!$B$3:$F$3,0)),"?"))</f>
        <v/>
      </c>
    </row>
    <row r="128">
      <c r="A128" s="2" t="n">
        <v>110</v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1">
        <f>IF(OR(B128="",C128=""),"",IFERROR(INDEX('Evaluation table'!$B$4:$F$8,MATCH(TRIM(SUBSTITUTE(B128,"’","'")),'Evaluation table'!$A$4:$A$8,0),MATCH(TRIM(SUBSTITUTE(C128,"’","'")),'Evaluation table'!$B$3:$F$3,0)),"?"))</f>
        <v/>
      </c>
      <c r="O128" s="11">
        <f>IF(OR(D128="",E128=""),"",IFERROR(INDEX('Evaluation table'!$B$4:$F$8,MATCH(TRIM(SUBSTITUTE(D128,"’","'")),'Evaluation table'!$A$4:$A$8,0),MATCH(TRIM(SUBSTITUTE(E128,"’","'")),'Evaluation table'!$B$3:$F$3,0)),"?"))</f>
        <v/>
      </c>
      <c r="P128" s="11">
        <f>IF(OR(F128="",G128=""),"",IFERROR(INDEX('Evaluation table'!$B$4:$F$8,MATCH(TRIM(SUBSTITUTE(F128,"’","'")),'Evaluation table'!$A$4:$A$8,0),MATCH(TRIM(SUBSTITUTE(G128,"’","'")),'Evaluation table'!$B$3:$F$3,0)),"?"))</f>
        <v/>
      </c>
      <c r="Q128" s="11">
        <f>IF(OR(H128="",I128=""),"",IFERROR(INDEX('Evaluation table'!$B$4:$F$8,MATCH(TRIM(SUBSTITUTE(H128,"’","'")),'Evaluation table'!$A$4:$A$8,0),MATCH(TRIM(SUBSTITUTE(I128,"’","'")),'Evaluation table'!$B$3:$F$3,0)),"?"))</f>
        <v/>
      </c>
      <c r="R128" s="11">
        <f>IF(OR(J128="",K128=""),"",IFERROR(INDEX('Evaluation table'!$B$4:$F$8,MATCH(TRIM(SUBSTITUTE(J128,"’","'")),'Evaluation table'!$A$4:$A$8,0),MATCH(TRIM(SUBSTITUTE(K128,"’","'")),'Evaluation table'!$B$3:$F$3,0)),"?"))</f>
        <v/>
      </c>
      <c r="S128" s="11">
        <f>IF(OR(L128="",M128=""),"",IFERROR(INDEX('Evaluation table'!$B$4:$F$8,MATCH(TRIM(SUBSTITUTE(L128,"’","'")),'Evaluation table'!$A$4:$A$8,0),MATCH(TRIM(SUBSTITUTE(M128,"’","'")),'Evaluation table'!$B$3:$F$3,0)),"?"))</f>
        <v/>
      </c>
    </row>
    <row r="129">
      <c r="A129" s="2" t="n">
        <v>111</v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1">
        <f>IF(OR(B129="",C129=""),"",IFERROR(INDEX('Evaluation table'!$B$4:$F$8,MATCH(TRIM(SUBSTITUTE(B129,"’","'")),'Evaluation table'!$A$4:$A$8,0),MATCH(TRIM(SUBSTITUTE(C129,"’","'")),'Evaluation table'!$B$3:$F$3,0)),"?"))</f>
        <v/>
      </c>
      <c r="O129" s="11">
        <f>IF(OR(D129="",E129=""),"",IFERROR(INDEX('Evaluation table'!$B$4:$F$8,MATCH(TRIM(SUBSTITUTE(D129,"’","'")),'Evaluation table'!$A$4:$A$8,0),MATCH(TRIM(SUBSTITUTE(E129,"’","'")),'Evaluation table'!$B$3:$F$3,0)),"?"))</f>
        <v/>
      </c>
      <c r="P129" s="11">
        <f>IF(OR(F129="",G129=""),"",IFERROR(INDEX('Evaluation table'!$B$4:$F$8,MATCH(TRIM(SUBSTITUTE(F129,"’","'")),'Evaluation table'!$A$4:$A$8,0),MATCH(TRIM(SUBSTITUTE(G129,"’","'")),'Evaluation table'!$B$3:$F$3,0)),"?"))</f>
        <v/>
      </c>
      <c r="Q129" s="11">
        <f>IF(OR(H129="",I129=""),"",IFERROR(INDEX('Evaluation table'!$B$4:$F$8,MATCH(TRIM(SUBSTITUTE(H129,"’","'")),'Evaluation table'!$A$4:$A$8,0),MATCH(TRIM(SUBSTITUTE(I129,"’","'")),'Evaluation table'!$B$3:$F$3,0)),"?"))</f>
        <v/>
      </c>
      <c r="R129" s="11">
        <f>IF(OR(J129="",K129=""),"",IFERROR(INDEX('Evaluation table'!$B$4:$F$8,MATCH(TRIM(SUBSTITUTE(J129,"’","'")),'Evaluation table'!$A$4:$A$8,0),MATCH(TRIM(SUBSTITUTE(K129,"’","'")),'Evaluation table'!$B$3:$F$3,0)),"?"))</f>
        <v/>
      </c>
      <c r="S129" s="11">
        <f>IF(OR(L129="",M129=""),"",IFERROR(INDEX('Evaluation table'!$B$4:$F$8,MATCH(TRIM(SUBSTITUTE(L129,"’","'")),'Evaluation table'!$A$4:$A$8,0),MATCH(TRIM(SUBSTITUTE(M129,"’","'")),'Evaluation table'!$B$3:$F$3,0)),"?"))</f>
        <v/>
      </c>
    </row>
    <row r="130">
      <c r="A130" s="2" t="n">
        <v>112</v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1">
        <f>IF(OR(B130="",C130=""),"",IFERROR(INDEX('Evaluation table'!$B$4:$F$8,MATCH(TRIM(SUBSTITUTE(B130,"’","'")),'Evaluation table'!$A$4:$A$8,0),MATCH(TRIM(SUBSTITUTE(C130,"’","'")),'Evaluation table'!$B$3:$F$3,0)),"?"))</f>
        <v/>
      </c>
      <c r="O130" s="11">
        <f>IF(OR(D130="",E130=""),"",IFERROR(INDEX('Evaluation table'!$B$4:$F$8,MATCH(TRIM(SUBSTITUTE(D130,"’","'")),'Evaluation table'!$A$4:$A$8,0),MATCH(TRIM(SUBSTITUTE(E130,"’","'")),'Evaluation table'!$B$3:$F$3,0)),"?"))</f>
        <v/>
      </c>
      <c r="P130" s="11">
        <f>IF(OR(F130="",G130=""),"",IFERROR(INDEX('Evaluation table'!$B$4:$F$8,MATCH(TRIM(SUBSTITUTE(F130,"’","'")),'Evaluation table'!$A$4:$A$8,0),MATCH(TRIM(SUBSTITUTE(G130,"’","'")),'Evaluation table'!$B$3:$F$3,0)),"?"))</f>
        <v/>
      </c>
      <c r="Q130" s="11">
        <f>IF(OR(H130="",I130=""),"",IFERROR(INDEX('Evaluation table'!$B$4:$F$8,MATCH(TRIM(SUBSTITUTE(H130,"’","'")),'Evaluation table'!$A$4:$A$8,0),MATCH(TRIM(SUBSTITUTE(I130,"’","'")),'Evaluation table'!$B$3:$F$3,0)),"?"))</f>
        <v/>
      </c>
      <c r="R130" s="11">
        <f>IF(OR(J130="",K130=""),"",IFERROR(INDEX('Evaluation table'!$B$4:$F$8,MATCH(TRIM(SUBSTITUTE(J130,"’","'")),'Evaluation table'!$A$4:$A$8,0),MATCH(TRIM(SUBSTITUTE(K130,"’","'")),'Evaluation table'!$B$3:$F$3,0)),"?"))</f>
        <v/>
      </c>
      <c r="S130" s="11">
        <f>IF(OR(L130="",M130=""),"",IFERROR(INDEX('Evaluation table'!$B$4:$F$8,MATCH(TRIM(SUBSTITUTE(L130,"’","'")),'Evaluation table'!$A$4:$A$8,0),MATCH(TRIM(SUBSTITUTE(M130,"’","'")),'Evaluation table'!$B$3:$F$3,0)),"?"))</f>
        <v/>
      </c>
    </row>
    <row r="131">
      <c r="A131" s="2" t="n">
        <v>113</v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1">
        <f>IF(OR(B131="",C131=""),"",IFERROR(INDEX('Evaluation table'!$B$4:$F$8,MATCH(TRIM(SUBSTITUTE(B131,"’","'")),'Evaluation table'!$A$4:$A$8,0),MATCH(TRIM(SUBSTITUTE(C131,"’","'")),'Evaluation table'!$B$3:$F$3,0)),"?"))</f>
        <v/>
      </c>
      <c r="O131" s="11">
        <f>IF(OR(D131="",E131=""),"",IFERROR(INDEX('Evaluation table'!$B$4:$F$8,MATCH(TRIM(SUBSTITUTE(D131,"’","'")),'Evaluation table'!$A$4:$A$8,0),MATCH(TRIM(SUBSTITUTE(E131,"’","'")),'Evaluation table'!$B$3:$F$3,0)),"?"))</f>
        <v/>
      </c>
      <c r="P131" s="11">
        <f>IF(OR(F131="",G131=""),"",IFERROR(INDEX('Evaluation table'!$B$4:$F$8,MATCH(TRIM(SUBSTITUTE(F131,"’","'")),'Evaluation table'!$A$4:$A$8,0),MATCH(TRIM(SUBSTITUTE(G131,"’","'")),'Evaluation table'!$B$3:$F$3,0)),"?"))</f>
        <v/>
      </c>
      <c r="Q131" s="11">
        <f>IF(OR(H131="",I131=""),"",IFERROR(INDEX('Evaluation table'!$B$4:$F$8,MATCH(TRIM(SUBSTITUTE(H131,"’","'")),'Evaluation table'!$A$4:$A$8,0),MATCH(TRIM(SUBSTITUTE(I131,"’","'")),'Evaluation table'!$B$3:$F$3,0)),"?"))</f>
        <v/>
      </c>
      <c r="R131" s="11">
        <f>IF(OR(J131="",K131=""),"",IFERROR(INDEX('Evaluation table'!$B$4:$F$8,MATCH(TRIM(SUBSTITUTE(J131,"’","'")),'Evaluation table'!$A$4:$A$8,0),MATCH(TRIM(SUBSTITUTE(K131,"’","'")),'Evaluation table'!$B$3:$F$3,0)),"?"))</f>
        <v/>
      </c>
      <c r="S131" s="11">
        <f>IF(OR(L131="",M131=""),"",IFERROR(INDEX('Evaluation table'!$B$4:$F$8,MATCH(TRIM(SUBSTITUTE(L131,"’","'")),'Evaluation table'!$A$4:$A$8,0),MATCH(TRIM(SUBSTITUTE(M131,"’","'")),'Evaluation table'!$B$3:$F$3,0)),"?"))</f>
        <v/>
      </c>
    </row>
    <row r="132">
      <c r="A132" s="2" t="n">
        <v>114</v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1">
        <f>IF(OR(B132="",C132=""),"",IFERROR(INDEX('Evaluation table'!$B$4:$F$8,MATCH(TRIM(SUBSTITUTE(B132,"’","'")),'Evaluation table'!$A$4:$A$8,0),MATCH(TRIM(SUBSTITUTE(C132,"’","'")),'Evaluation table'!$B$3:$F$3,0)),"?"))</f>
        <v/>
      </c>
      <c r="O132" s="11">
        <f>IF(OR(D132="",E132=""),"",IFERROR(INDEX('Evaluation table'!$B$4:$F$8,MATCH(TRIM(SUBSTITUTE(D132,"’","'")),'Evaluation table'!$A$4:$A$8,0),MATCH(TRIM(SUBSTITUTE(E132,"’","'")),'Evaluation table'!$B$3:$F$3,0)),"?"))</f>
        <v/>
      </c>
      <c r="P132" s="11">
        <f>IF(OR(F132="",G132=""),"",IFERROR(INDEX('Evaluation table'!$B$4:$F$8,MATCH(TRIM(SUBSTITUTE(F132,"’","'")),'Evaluation table'!$A$4:$A$8,0),MATCH(TRIM(SUBSTITUTE(G132,"’","'")),'Evaluation table'!$B$3:$F$3,0)),"?"))</f>
        <v/>
      </c>
      <c r="Q132" s="11">
        <f>IF(OR(H132="",I132=""),"",IFERROR(INDEX('Evaluation table'!$B$4:$F$8,MATCH(TRIM(SUBSTITUTE(H132,"’","'")),'Evaluation table'!$A$4:$A$8,0),MATCH(TRIM(SUBSTITUTE(I132,"’","'")),'Evaluation table'!$B$3:$F$3,0)),"?"))</f>
        <v/>
      </c>
      <c r="R132" s="11">
        <f>IF(OR(J132="",K132=""),"",IFERROR(INDEX('Evaluation table'!$B$4:$F$8,MATCH(TRIM(SUBSTITUTE(J132,"’","'")),'Evaluation table'!$A$4:$A$8,0),MATCH(TRIM(SUBSTITUTE(K132,"’","'")),'Evaluation table'!$B$3:$F$3,0)),"?"))</f>
        <v/>
      </c>
      <c r="S132" s="11">
        <f>IF(OR(L132="",M132=""),"",IFERROR(INDEX('Evaluation table'!$B$4:$F$8,MATCH(TRIM(SUBSTITUTE(L132,"’","'")),'Evaluation table'!$A$4:$A$8,0),MATCH(TRIM(SUBSTITUTE(M132,"’","'")),'Evaluation table'!$B$3:$F$3,0)),"?"))</f>
        <v/>
      </c>
    </row>
    <row r="133">
      <c r="A133" s="2" t="n">
        <v>115</v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1">
        <f>IF(OR(B133="",C133=""),"",IFERROR(INDEX('Evaluation table'!$B$4:$F$8,MATCH(TRIM(SUBSTITUTE(B133,"’","'")),'Evaluation table'!$A$4:$A$8,0),MATCH(TRIM(SUBSTITUTE(C133,"’","'")),'Evaluation table'!$B$3:$F$3,0)),"?"))</f>
        <v/>
      </c>
      <c r="O133" s="11">
        <f>IF(OR(D133="",E133=""),"",IFERROR(INDEX('Evaluation table'!$B$4:$F$8,MATCH(TRIM(SUBSTITUTE(D133,"’","'")),'Evaluation table'!$A$4:$A$8,0),MATCH(TRIM(SUBSTITUTE(E133,"’","'")),'Evaluation table'!$B$3:$F$3,0)),"?"))</f>
        <v/>
      </c>
      <c r="P133" s="11">
        <f>IF(OR(F133="",G133=""),"",IFERROR(INDEX('Evaluation table'!$B$4:$F$8,MATCH(TRIM(SUBSTITUTE(F133,"’","'")),'Evaluation table'!$A$4:$A$8,0),MATCH(TRIM(SUBSTITUTE(G133,"’","'")),'Evaluation table'!$B$3:$F$3,0)),"?"))</f>
        <v/>
      </c>
      <c r="Q133" s="11">
        <f>IF(OR(H133="",I133=""),"",IFERROR(INDEX('Evaluation table'!$B$4:$F$8,MATCH(TRIM(SUBSTITUTE(H133,"’","'")),'Evaluation table'!$A$4:$A$8,0),MATCH(TRIM(SUBSTITUTE(I133,"’","'")),'Evaluation table'!$B$3:$F$3,0)),"?"))</f>
        <v/>
      </c>
      <c r="R133" s="11">
        <f>IF(OR(J133="",K133=""),"",IFERROR(INDEX('Evaluation table'!$B$4:$F$8,MATCH(TRIM(SUBSTITUTE(J133,"’","'")),'Evaluation table'!$A$4:$A$8,0),MATCH(TRIM(SUBSTITUTE(K133,"’","'")),'Evaluation table'!$B$3:$F$3,0)),"?"))</f>
        <v/>
      </c>
      <c r="S133" s="11">
        <f>IF(OR(L133="",M133=""),"",IFERROR(INDEX('Evaluation table'!$B$4:$F$8,MATCH(TRIM(SUBSTITUTE(L133,"’","'")),'Evaluation table'!$A$4:$A$8,0),MATCH(TRIM(SUBSTITUTE(M133,"’","'")),'Evaluation table'!$B$3:$F$3,0)),"?"))</f>
        <v/>
      </c>
    </row>
    <row r="134">
      <c r="A134" s="2" t="n">
        <v>116</v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1">
        <f>IF(OR(B134="",C134=""),"",IFERROR(INDEX('Evaluation table'!$B$4:$F$8,MATCH(TRIM(SUBSTITUTE(B134,"’","'")),'Evaluation table'!$A$4:$A$8,0),MATCH(TRIM(SUBSTITUTE(C134,"’","'")),'Evaluation table'!$B$3:$F$3,0)),"?"))</f>
        <v/>
      </c>
      <c r="O134" s="11">
        <f>IF(OR(D134="",E134=""),"",IFERROR(INDEX('Evaluation table'!$B$4:$F$8,MATCH(TRIM(SUBSTITUTE(D134,"’","'")),'Evaluation table'!$A$4:$A$8,0),MATCH(TRIM(SUBSTITUTE(E134,"’","'")),'Evaluation table'!$B$3:$F$3,0)),"?"))</f>
        <v/>
      </c>
      <c r="P134" s="11">
        <f>IF(OR(F134="",G134=""),"",IFERROR(INDEX('Evaluation table'!$B$4:$F$8,MATCH(TRIM(SUBSTITUTE(F134,"’","'")),'Evaluation table'!$A$4:$A$8,0),MATCH(TRIM(SUBSTITUTE(G134,"’","'")),'Evaluation table'!$B$3:$F$3,0)),"?"))</f>
        <v/>
      </c>
      <c r="Q134" s="11">
        <f>IF(OR(H134="",I134=""),"",IFERROR(INDEX('Evaluation table'!$B$4:$F$8,MATCH(TRIM(SUBSTITUTE(H134,"’","'")),'Evaluation table'!$A$4:$A$8,0),MATCH(TRIM(SUBSTITUTE(I134,"’","'")),'Evaluation table'!$B$3:$F$3,0)),"?"))</f>
        <v/>
      </c>
      <c r="R134" s="11">
        <f>IF(OR(J134="",K134=""),"",IFERROR(INDEX('Evaluation table'!$B$4:$F$8,MATCH(TRIM(SUBSTITUTE(J134,"’","'")),'Evaluation table'!$A$4:$A$8,0),MATCH(TRIM(SUBSTITUTE(K134,"’","'")),'Evaluation table'!$B$3:$F$3,0)),"?"))</f>
        <v/>
      </c>
      <c r="S134" s="11">
        <f>IF(OR(L134="",M134=""),"",IFERROR(INDEX('Evaluation table'!$B$4:$F$8,MATCH(TRIM(SUBSTITUTE(L134,"’","'")),'Evaluation table'!$A$4:$A$8,0),MATCH(TRIM(SUBSTITUTE(M134,"’","'")),'Evaluation table'!$B$3:$F$3,0)),"?"))</f>
        <v/>
      </c>
    </row>
    <row r="135">
      <c r="A135" s="2" t="n">
        <v>117</v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1">
        <f>IF(OR(B135="",C135=""),"",IFERROR(INDEX('Evaluation table'!$B$4:$F$8,MATCH(TRIM(SUBSTITUTE(B135,"’","'")),'Evaluation table'!$A$4:$A$8,0),MATCH(TRIM(SUBSTITUTE(C135,"’","'")),'Evaluation table'!$B$3:$F$3,0)),"?"))</f>
        <v/>
      </c>
      <c r="O135" s="11">
        <f>IF(OR(D135="",E135=""),"",IFERROR(INDEX('Evaluation table'!$B$4:$F$8,MATCH(TRIM(SUBSTITUTE(D135,"’","'")),'Evaluation table'!$A$4:$A$8,0),MATCH(TRIM(SUBSTITUTE(E135,"’","'")),'Evaluation table'!$B$3:$F$3,0)),"?"))</f>
        <v/>
      </c>
      <c r="P135" s="11">
        <f>IF(OR(F135="",G135=""),"",IFERROR(INDEX('Evaluation table'!$B$4:$F$8,MATCH(TRIM(SUBSTITUTE(F135,"’","'")),'Evaluation table'!$A$4:$A$8,0),MATCH(TRIM(SUBSTITUTE(G135,"’","'")),'Evaluation table'!$B$3:$F$3,0)),"?"))</f>
        <v/>
      </c>
      <c r="Q135" s="11">
        <f>IF(OR(H135="",I135=""),"",IFERROR(INDEX('Evaluation table'!$B$4:$F$8,MATCH(TRIM(SUBSTITUTE(H135,"’","'")),'Evaluation table'!$A$4:$A$8,0),MATCH(TRIM(SUBSTITUTE(I135,"’","'")),'Evaluation table'!$B$3:$F$3,0)),"?"))</f>
        <v/>
      </c>
      <c r="R135" s="11">
        <f>IF(OR(J135="",K135=""),"",IFERROR(INDEX('Evaluation table'!$B$4:$F$8,MATCH(TRIM(SUBSTITUTE(J135,"’","'")),'Evaluation table'!$A$4:$A$8,0),MATCH(TRIM(SUBSTITUTE(K135,"’","'")),'Evaluation table'!$B$3:$F$3,0)),"?"))</f>
        <v/>
      </c>
      <c r="S135" s="11">
        <f>IF(OR(L135="",M135=""),"",IFERROR(INDEX('Evaluation table'!$B$4:$F$8,MATCH(TRIM(SUBSTITUTE(L135,"’","'")),'Evaluation table'!$A$4:$A$8,0),MATCH(TRIM(SUBSTITUTE(M135,"’","'")),'Evaluation table'!$B$3:$F$3,0)),"?"))</f>
        <v/>
      </c>
    </row>
    <row r="136">
      <c r="A136" s="2" t="n">
        <v>118</v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1">
        <f>IF(OR(B136="",C136=""),"",IFERROR(INDEX('Evaluation table'!$B$4:$F$8,MATCH(TRIM(SUBSTITUTE(B136,"’","'")),'Evaluation table'!$A$4:$A$8,0),MATCH(TRIM(SUBSTITUTE(C136,"’","'")),'Evaluation table'!$B$3:$F$3,0)),"?"))</f>
        <v/>
      </c>
      <c r="O136" s="11">
        <f>IF(OR(D136="",E136=""),"",IFERROR(INDEX('Evaluation table'!$B$4:$F$8,MATCH(TRIM(SUBSTITUTE(D136,"’","'")),'Evaluation table'!$A$4:$A$8,0),MATCH(TRIM(SUBSTITUTE(E136,"’","'")),'Evaluation table'!$B$3:$F$3,0)),"?"))</f>
        <v/>
      </c>
      <c r="P136" s="11">
        <f>IF(OR(F136="",G136=""),"",IFERROR(INDEX('Evaluation table'!$B$4:$F$8,MATCH(TRIM(SUBSTITUTE(F136,"’","'")),'Evaluation table'!$A$4:$A$8,0),MATCH(TRIM(SUBSTITUTE(G136,"’","'")),'Evaluation table'!$B$3:$F$3,0)),"?"))</f>
        <v/>
      </c>
      <c r="Q136" s="11">
        <f>IF(OR(H136="",I136=""),"",IFERROR(INDEX('Evaluation table'!$B$4:$F$8,MATCH(TRIM(SUBSTITUTE(H136,"’","'")),'Evaluation table'!$A$4:$A$8,0),MATCH(TRIM(SUBSTITUTE(I136,"’","'")),'Evaluation table'!$B$3:$F$3,0)),"?"))</f>
        <v/>
      </c>
      <c r="R136" s="11">
        <f>IF(OR(J136="",K136=""),"",IFERROR(INDEX('Evaluation table'!$B$4:$F$8,MATCH(TRIM(SUBSTITUTE(J136,"’","'")),'Evaluation table'!$A$4:$A$8,0),MATCH(TRIM(SUBSTITUTE(K136,"’","'")),'Evaluation table'!$B$3:$F$3,0)),"?"))</f>
        <v/>
      </c>
      <c r="S136" s="11">
        <f>IF(OR(L136="",M136=""),"",IFERROR(INDEX('Evaluation table'!$B$4:$F$8,MATCH(TRIM(SUBSTITUTE(L136,"’","'")),'Evaluation table'!$A$4:$A$8,0),MATCH(TRIM(SUBSTITUTE(M136,"’","'")),'Evaluation table'!$B$3:$F$3,0)),"?"))</f>
        <v/>
      </c>
    </row>
    <row r="137">
      <c r="A137" s="2" t="n">
        <v>119</v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1">
        <f>IF(OR(B137="",C137=""),"",IFERROR(INDEX('Evaluation table'!$B$4:$F$8,MATCH(TRIM(SUBSTITUTE(B137,"’","'")),'Evaluation table'!$A$4:$A$8,0),MATCH(TRIM(SUBSTITUTE(C137,"’","'")),'Evaluation table'!$B$3:$F$3,0)),"?"))</f>
        <v/>
      </c>
      <c r="O137" s="11">
        <f>IF(OR(D137="",E137=""),"",IFERROR(INDEX('Evaluation table'!$B$4:$F$8,MATCH(TRIM(SUBSTITUTE(D137,"’","'")),'Evaluation table'!$A$4:$A$8,0),MATCH(TRIM(SUBSTITUTE(E137,"’","'")),'Evaluation table'!$B$3:$F$3,0)),"?"))</f>
        <v/>
      </c>
      <c r="P137" s="11">
        <f>IF(OR(F137="",G137=""),"",IFERROR(INDEX('Evaluation table'!$B$4:$F$8,MATCH(TRIM(SUBSTITUTE(F137,"’","'")),'Evaluation table'!$A$4:$A$8,0),MATCH(TRIM(SUBSTITUTE(G137,"’","'")),'Evaluation table'!$B$3:$F$3,0)),"?"))</f>
        <v/>
      </c>
      <c r="Q137" s="11">
        <f>IF(OR(H137="",I137=""),"",IFERROR(INDEX('Evaluation table'!$B$4:$F$8,MATCH(TRIM(SUBSTITUTE(H137,"’","'")),'Evaluation table'!$A$4:$A$8,0),MATCH(TRIM(SUBSTITUTE(I137,"’","'")),'Evaluation table'!$B$3:$F$3,0)),"?"))</f>
        <v/>
      </c>
      <c r="R137" s="11">
        <f>IF(OR(J137="",K137=""),"",IFERROR(INDEX('Evaluation table'!$B$4:$F$8,MATCH(TRIM(SUBSTITUTE(J137,"’","'")),'Evaluation table'!$A$4:$A$8,0),MATCH(TRIM(SUBSTITUTE(K137,"’","'")),'Evaluation table'!$B$3:$F$3,0)),"?"))</f>
        <v/>
      </c>
      <c r="S137" s="11">
        <f>IF(OR(L137="",M137=""),"",IFERROR(INDEX('Evaluation table'!$B$4:$F$8,MATCH(TRIM(SUBSTITUTE(L137,"’","'")),'Evaluation table'!$A$4:$A$8,0),MATCH(TRIM(SUBSTITUTE(M137,"’","'")),'Evaluation table'!$B$3:$F$3,0)),"?"))</f>
        <v/>
      </c>
    </row>
    <row r="138">
      <c r="A138" s="2" t="n">
        <v>120</v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1">
        <f>IF(OR(B138="",C138=""),"",IFERROR(INDEX('Evaluation table'!$B$4:$F$8,MATCH(TRIM(SUBSTITUTE(B138,"’","'")),'Evaluation table'!$A$4:$A$8,0),MATCH(TRIM(SUBSTITUTE(C138,"’","'")),'Evaluation table'!$B$3:$F$3,0)),"?"))</f>
        <v/>
      </c>
      <c r="O138" s="11">
        <f>IF(OR(D138="",E138=""),"",IFERROR(INDEX('Evaluation table'!$B$4:$F$8,MATCH(TRIM(SUBSTITUTE(D138,"’","'")),'Evaluation table'!$A$4:$A$8,0),MATCH(TRIM(SUBSTITUTE(E138,"’","'")),'Evaluation table'!$B$3:$F$3,0)),"?"))</f>
        <v/>
      </c>
      <c r="P138" s="11">
        <f>IF(OR(F138="",G138=""),"",IFERROR(INDEX('Evaluation table'!$B$4:$F$8,MATCH(TRIM(SUBSTITUTE(F138,"’","'")),'Evaluation table'!$A$4:$A$8,0),MATCH(TRIM(SUBSTITUTE(G138,"’","'")),'Evaluation table'!$B$3:$F$3,0)),"?"))</f>
        <v/>
      </c>
      <c r="Q138" s="11">
        <f>IF(OR(H138="",I138=""),"",IFERROR(INDEX('Evaluation table'!$B$4:$F$8,MATCH(TRIM(SUBSTITUTE(H138,"’","'")),'Evaluation table'!$A$4:$A$8,0),MATCH(TRIM(SUBSTITUTE(I138,"’","'")),'Evaluation table'!$B$3:$F$3,0)),"?"))</f>
        <v/>
      </c>
      <c r="R138" s="11">
        <f>IF(OR(J138="",K138=""),"",IFERROR(INDEX('Evaluation table'!$B$4:$F$8,MATCH(TRIM(SUBSTITUTE(J138,"’","'")),'Evaluation table'!$A$4:$A$8,0),MATCH(TRIM(SUBSTITUTE(K138,"’","'")),'Evaluation table'!$B$3:$F$3,0)),"?"))</f>
        <v/>
      </c>
      <c r="S138" s="11">
        <f>IF(OR(L138="",M138=""),"",IFERROR(INDEX('Evaluation table'!$B$4:$F$8,MATCH(TRIM(SUBSTITUTE(L138,"’","'")),'Evaluation table'!$A$4:$A$8,0),MATCH(TRIM(SUBSTITUTE(M138,"’","'")),'Evaluation table'!$B$3:$F$3,0)),"?"))</f>
        <v/>
      </c>
    </row>
    <row r="139">
      <c r="A139" s="2" t="n">
        <v>121</v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1">
        <f>IF(OR(B139="",C139=""),"",IFERROR(INDEX('Evaluation table'!$B$4:$F$8,MATCH(TRIM(SUBSTITUTE(B139,"’","'")),'Evaluation table'!$A$4:$A$8,0),MATCH(TRIM(SUBSTITUTE(C139,"’","'")),'Evaluation table'!$B$3:$F$3,0)),"?"))</f>
        <v/>
      </c>
      <c r="O139" s="11">
        <f>IF(OR(D139="",E139=""),"",IFERROR(INDEX('Evaluation table'!$B$4:$F$8,MATCH(TRIM(SUBSTITUTE(D139,"’","'")),'Evaluation table'!$A$4:$A$8,0),MATCH(TRIM(SUBSTITUTE(E139,"’","'")),'Evaluation table'!$B$3:$F$3,0)),"?"))</f>
        <v/>
      </c>
      <c r="P139" s="11">
        <f>IF(OR(F139="",G139=""),"",IFERROR(INDEX('Evaluation table'!$B$4:$F$8,MATCH(TRIM(SUBSTITUTE(F139,"’","'")),'Evaluation table'!$A$4:$A$8,0),MATCH(TRIM(SUBSTITUTE(G139,"’","'")),'Evaluation table'!$B$3:$F$3,0)),"?"))</f>
        <v/>
      </c>
      <c r="Q139" s="11">
        <f>IF(OR(H139="",I139=""),"",IFERROR(INDEX('Evaluation table'!$B$4:$F$8,MATCH(TRIM(SUBSTITUTE(H139,"’","'")),'Evaluation table'!$A$4:$A$8,0),MATCH(TRIM(SUBSTITUTE(I139,"’","'")),'Evaluation table'!$B$3:$F$3,0)),"?"))</f>
        <v/>
      </c>
      <c r="R139" s="11">
        <f>IF(OR(J139="",K139=""),"",IFERROR(INDEX('Evaluation table'!$B$4:$F$8,MATCH(TRIM(SUBSTITUTE(J139,"’","'")),'Evaluation table'!$A$4:$A$8,0),MATCH(TRIM(SUBSTITUTE(K139,"’","'")),'Evaluation table'!$B$3:$F$3,0)),"?"))</f>
        <v/>
      </c>
      <c r="S139" s="11">
        <f>IF(OR(L139="",M139=""),"",IFERROR(INDEX('Evaluation table'!$B$4:$F$8,MATCH(TRIM(SUBSTITUTE(L139,"’","'")),'Evaluation table'!$A$4:$A$8,0),MATCH(TRIM(SUBSTITUTE(M139,"’","'")),'Evaluation table'!$B$3:$F$3,0)),"?"))</f>
        <v/>
      </c>
    </row>
    <row r="140">
      <c r="A140" s="2" t="n">
        <v>122</v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1">
        <f>IF(OR(B140="",C140=""),"",IFERROR(INDEX('Evaluation table'!$B$4:$F$8,MATCH(TRIM(SUBSTITUTE(B140,"’","'")),'Evaluation table'!$A$4:$A$8,0),MATCH(TRIM(SUBSTITUTE(C140,"’","'")),'Evaluation table'!$B$3:$F$3,0)),"?"))</f>
        <v/>
      </c>
      <c r="O140" s="11">
        <f>IF(OR(D140="",E140=""),"",IFERROR(INDEX('Evaluation table'!$B$4:$F$8,MATCH(TRIM(SUBSTITUTE(D140,"’","'")),'Evaluation table'!$A$4:$A$8,0),MATCH(TRIM(SUBSTITUTE(E140,"’","'")),'Evaluation table'!$B$3:$F$3,0)),"?"))</f>
        <v/>
      </c>
      <c r="P140" s="11">
        <f>IF(OR(F140="",G140=""),"",IFERROR(INDEX('Evaluation table'!$B$4:$F$8,MATCH(TRIM(SUBSTITUTE(F140,"’","'")),'Evaluation table'!$A$4:$A$8,0),MATCH(TRIM(SUBSTITUTE(G140,"’","'")),'Evaluation table'!$B$3:$F$3,0)),"?"))</f>
        <v/>
      </c>
      <c r="Q140" s="11">
        <f>IF(OR(H140="",I140=""),"",IFERROR(INDEX('Evaluation table'!$B$4:$F$8,MATCH(TRIM(SUBSTITUTE(H140,"’","'")),'Evaluation table'!$A$4:$A$8,0),MATCH(TRIM(SUBSTITUTE(I140,"’","'")),'Evaluation table'!$B$3:$F$3,0)),"?"))</f>
        <v/>
      </c>
      <c r="R140" s="11">
        <f>IF(OR(J140="",K140=""),"",IFERROR(INDEX('Evaluation table'!$B$4:$F$8,MATCH(TRIM(SUBSTITUTE(J140,"’","'")),'Evaluation table'!$A$4:$A$8,0),MATCH(TRIM(SUBSTITUTE(K140,"’","'")),'Evaluation table'!$B$3:$F$3,0)),"?"))</f>
        <v/>
      </c>
      <c r="S140" s="11">
        <f>IF(OR(L140="",M140=""),"",IFERROR(INDEX('Evaluation table'!$B$4:$F$8,MATCH(TRIM(SUBSTITUTE(L140,"’","'")),'Evaluation table'!$A$4:$A$8,0),MATCH(TRIM(SUBSTITUTE(M140,"’","'")),'Evaluation table'!$B$3:$F$3,0)),"?"))</f>
        <v/>
      </c>
    </row>
    <row r="141">
      <c r="A141" s="2" t="n">
        <v>123</v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1">
        <f>IF(OR(B141="",C141=""),"",IFERROR(INDEX('Evaluation table'!$B$4:$F$8,MATCH(TRIM(SUBSTITUTE(B141,"’","'")),'Evaluation table'!$A$4:$A$8,0),MATCH(TRIM(SUBSTITUTE(C141,"’","'")),'Evaluation table'!$B$3:$F$3,0)),"?"))</f>
        <v/>
      </c>
      <c r="O141" s="11">
        <f>IF(OR(D141="",E141=""),"",IFERROR(INDEX('Evaluation table'!$B$4:$F$8,MATCH(TRIM(SUBSTITUTE(D141,"’","'")),'Evaluation table'!$A$4:$A$8,0),MATCH(TRIM(SUBSTITUTE(E141,"’","'")),'Evaluation table'!$B$3:$F$3,0)),"?"))</f>
        <v/>
      </c>
      <c r="P141" s="11">
        <f>IF(OR(F141="",G141=""),"",IFERROR(INDEX('Evaluation table'!$B$4:$F$8,MATCH(TRIM(SUBSTITUTE(F141,"’","'")),'Evaluation table'!$A$4:$A$8,0),MATCH(TRIM(SUBSTITUTE(G141,"’","'")),'Evaluation table'!$B$3:$F$3,0)),"?"))</f>
        <v/>
      </c>
      <c r="Q141" s="11">
        <f>IF(OR(H141="",I141=""),"",IFERROR(INDEX('Evaluation table'!$B$4:$F$8,MATCH(TRIM(SUBSTITUTE(H141,"’","'")),'Evaluation table'!$A$4:$A$8,0),MATCH(TRIM(SUBSTITUTE(I141,"’","'")),'Evaluation table'!$B$3:$F$3,0)),"?"))</f>
        <v/>
      </c>
      <c r="R141" s="11">
        <f>IF(OR(J141="",K141=""),"",IFERROR(INDEX('Evaluation table'!$B$4:$F$8,MATCH(TRIM(SUBSTITUTE(J141,"’","'")),'Evaluation table'!$A$4:$A$8,0),MATCH(TRIM(SUBSTITUTE(K141,"’","'")),'Evaluation table'!$B$3:$F$3,0)),"?"))</f>
        <v/>
      </c>
      <c r="S141" s="11">
        <f>IF(OR(L141="",M141=""),"",IFERROR(INDEX('Evaluation table'!$B$4:$F$8,MATCH(TRIM(SUBSTITUTE(L141,"’","'")),'Evaluation table'!$A$4:$A$8,0),MATCH(TRIM(SUBSTITUTE(M141,"’","'")),'Evaluation table'!$B$3:$F$3,0)),"?"))</f>
        <v/>
      </c>
    </row>
    <row r="142">
      <c r="A142" s="2" t="n">
        <v>124</v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1">
        <f>IF(OR(B142="",C142=""),"",IFERROR(INDEX('Evaluation table'!$B$4:$F$8,MATCH(TRIM(SUBSTITUTE(B142,"’","'")),'Evaluation table'!$A$4:$A$8,0),MATCH(TRIM(SUBSTITUTE(C142,"’","'")),'Evaluation table'!$B$3:$F$3,0)),"?"))</f>
        <v/>
      </c>
      <c r="O142" s="11">
        <f>IF(OR(D142="",E142=""),"",IFERROR(INDEX('Evaluation table'!$B$4:$F$8,MATCH(TRIM(SUBSTITUTE(D142,"’","'")),'Evaluation table'!$A$4:$A$8,0),MATCH(TRIM(SUBSTITUTE(E142,"’","'")),'Evaluation table'!$B$3:$F$3,0)),"?"))</f>
        <v/>
      </c>
      <c r="P142" s="11">
        <f>IF(OR(F142="",G142=""),"",IFERROR(INDEX('Evaluation table'!$B$4:$F$8,MATCH(TRIM(SUBSTITUTE(F142,"’","'")),'Evaluation table'!$A$4:$A$8,0),MATCH(TRIM(SUBSTITUTE(G142,"’","'")),'Evaluation table'!$B$3:$F$3,0)),"?"))</f>
        <v/>
      </c>
      <c r="Q142" s="11">
        <f>IF(OR(H142="",I142=""),"",IFERROR(INDEX('Evaluation table'!$B$4:$F$8,MATCH(TRIM(SUBSTITUTE(H142,"’","'")),'Evaluation table'!$A$4:$A$8,0),MATCH(TRIM(SUBSTITUTE(I142,"’","'")),'Evaluation table'!$B$3:$F$3,0)),"?"))</f>
        <v/>
      </c>
      <c r="R142" s="11">
        <f>IF(OR(J142="",K142=""),"",IFERROR(INDEX('Evaluation table'!$B$4:$F$8,MATCH(TRIM(SUBSTITUTE(J142,"’","'")),'Evaluation table'!$A$4:$A$8,0),MATCH(TRIM(SUBSTITUTE(K142,"’","'")),'Evaluation table'!$B$3:$F$3,0)),"?"))</f>
        <v/>
      </c>
      <c r="S142" s="11">
        <f>IF(OR(L142="",M142=""),"",IFERROR(INDEX('Evaluation table'!$B$4:$F$8,MATCH(TRIM(SUBSTITUTE(L142,"’","'")),'Evaluation table'!$A$4:$A$8,0),MATCH(TRIM(SUBSTITUTE(M142,"’","'")),'Evaluation table'!$B$3:$F$3,0)),"?"))</f>
        <v/>
      </c>
    </row>
    <row r="143">
      <c r="A143" s="2" t="n">
        <v>125</v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1">
        <f>IF(OR(B143="",C143=""),"",IFERROR(INDEX('Evaluation table'!$B$4:$F$8,MATCH(TRIM(SUBSTITUTE(B143,"’","'")),'Evaluation table'!$A$4:$A$8,0),MATCH(TRIM(SUBSTITUTE(C143,"’","'")),'Evaluation table'!$B$3:$F$3,0)),"?"))</f>
        <v/>
      </c>
      <c r="O143" s="11">
        <f>IF(OR(D143="",E143=""),"",IFERROR(INDEX('Evaluation table'!$B$4:$F$8,MATCH(TRIM(SUBSTITUTE(D143,"’","'")),'Evaluation table'!$A$4:$A$8,0),MATCH(TRIM(SUBSTITUTE(E143,"’","'")),'Evaluation table'!$B$3:$F$3,0)),"?"))</f>
        <v/>
      </c>
      <c r="P143" s="11">
        <f>IF(OR(F143="",G143=""),"",IFERROR(INDEX('Evaluation table'!$B$4:$F$8,MATCH(TRIM(SUBSTITUTE(F143,"’","'")),'Evaluation table'!$A$4:$A$8,0),MATCH(TRIM(SUBSTITUTE(G143,"’","'")),'Evaluation table'!$B$3:$F$3,0)),"?"))</f>
        <v/>
      </c>
      <c r="Q143" s="11">
        <f>IF(OR(H143="",I143=""),"",IFERROR(INDEX('Evaluation table'!$B$4:$F$8,MATCH(TRIM(SUBSTITUTE(H143,"’","'")),'Evaluation table'!$A$4:$A$8,0),MATCH(TRIM(SUBSTITUTE(I143,"’","'")),'Evaluation table'!$B$3:$F$3,0)),"?"))</f>
        <v/>
      </c>
      <c r="R143" s="11">
        <f>IF(OR(J143="",K143=""),"",IFERROR(INDEX('Evaluation table'!$B$4:$F$8,MATCH(TRIM(SUBSTITUTE(J143,"’","'")),'Evaluation table'!$A$4:$A$8,0),MATCH(TRIM(SUBSTITUTE(K143,"’","'")),'Evaluation table'!$B$3:$F$3,0)),"?"))</f>
        <v/>
      </c>
      <c r="S143" s="11">
        <f>IF(OR(L143="",M143=""),"",IFERROR(INDEX('Evaluation table'!$B$4:$F$8,MATCH(TRIM(SUBSTITUTE(L143,"’","'")),'Evaluation table'!$A$4:$A$8,0),MATCH(TRIM(SUBSTITUTE(M143,"’","'")),'Evaluation table'!$B$3:$F$3,0)),"?"))</f>
        <v/>
      </c>
    </row>
    <row r="144">
      <c r="A144" s="2" t="n">
        <v>126</v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1">
        <f>IF(OR(B144="",C144=""),"",IFERROR(INDEX('Evaluation table'!$B$4:$F$8,MATCH(TRIM(SUBSTITUTE(B144,"’","'")),'Evaluation table'!$A$4:$A$8,0),MATCH(TRIM(SUBSTITUTE(C144,"’","'")),'Evaluation table'!$B$3:$F$3,0)),"?"))</f>
        <v/>
      </c>
      <c r="O144" s="11">
        <f>IF(OR(D144="",E144=""),"",IFERROR(INDEX('Evaluation table'!$B$4:$F$8,MATCH(TRIM(SUBSTITUTE(D144,"’","'")),'Evaluation table'!$A$4:$A$8,0),MATCH(TRIM(SUBSTITUTE(E144,"’","'")),'Evaluation table'!$B$3:$F$3,0)),"?"))</f>
        <v/>
      </c>
      <c r="P144" s="11">
        <f>IF(OR(F144="",G144=""),"",IFERROR(INDEX('Evaluation table'!$B$4:$F$8,MATCH(TRIM(SUBSTITUTE(F144,"’","'")),'Evaluation table'!$A$4:$A$8,0),MATCH(TRIM(SUBSTITUTE(G144,"’","'")),'Evaluation table'!$B$3:$F$3,0)),"?"))</f>
        <v/>
      </c>
      <c r="Q144" s="11">
        <f>IF(OR(H144="",I144=""),"",IFERROR(INDEX('Evaluation table'!$B$4:$F$8,MATCH(TRIM(SUBSTITUTE(H144,"’","'")),'Evaluation table'!$A$4:$A$8,0),MATCH(TRIM(SUBSTITUTE(I144,"’","'")),'Evaluation table'!$B$3:$F$3,0)),"?"))</f>
        <v/>
      </c>
      <c r="R144" s="11">
        <f>IF(OR(J144="",K144=""),"",IFERROR(INDEX('Evaluation table'!$B$4:$F$8,MATCH(TRIM(SUBSTITUTE(J144,"’","'")),'Evaluation table'!$A$4:$A$8,0),MATCH(TRIM(SUBSTITUTE(K144,"’","'")),'Evaluation table'!$B$3:$F$3,0)),"?"))</f>
        <v/>
      </c>
      <c r="S144" s="11">
        <f>IF(OR(L144="",M144=""),"",IFERROR(INDEX('Evaluation table'!$B$4:$F$8,MATCH(TRIM(SUBSTITUTE(L144,"’","'")),'Evaluation table'!$A$4:$A$8,0),MATCH(TRIM(SUBSTITUTE(M144,"’","'")),'Evaluation table'!$B$3:$F$3,0)),"?"))</f>
        <v/>
      </c>
    </row>
    <row r="145">
      <c r="A145" s="2" t="n">
        <v>127</v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1">
        <f>IF(OR(B145="",C145=""),"",IFERROR(INDEX('Evaluation table'!$B$4:$F$8,MATCH(TRIM(SUBSTITUTE(B145,"’","'")),'Evaluation table'!$A$4:$A$8,0),MATCH(TRIM(SUBSTITUTE(C145,"’","'")),'Evaluation table'!$B$3:$F$3,0)),"?"))</f>
        <v/>
      </c>
      <c r="O145" s="11">
        <f>IF(OR(D145="",E145=""),"",IFERROR(INDEX('Evaluation table'!$B$4:$F$8,MATCH(TRIM(SUBSTITUTE(D145,"’","'")),'Evaluation table'!$A$4:$A$8,0),MATCH(TRIM(SUBSTITUTE(E145,"’","'")),'Evaluation table'!$B$3:$F$3,0)),"?"))</f>
        <v/>
      </c>
      <c r="P145" s="11">
        <f>IF(OR(F145="",G145=""),"",IFERROR(INDEX('Evaluation table'!$B$4:$F$8,MATCH(TRIM(SUBSTITUTE(F145,"’","'")),'Evaluation table'!$A$4:$A$8,0),MATCH(TRIM(SUBSTITUTE(G145,"’","'")),'Evaluation table'!$B$3:$F$3,0)),"?"))</f>
        <v/>
      </c>
      <c r="Q145" s="11">
        <f>IF(OR(H145="",I145=""),"",IFERROR(INDEX('Evaluation table'!$B$4:$F$8,MATCH(TRIM(SUBSTITUTE(H145,"’","'")),'Evaluation table'!$A$4:$A$8,0),MATCH(TRIM(SUBSTITUTE(I145,"’","'")),'Evaluation table'!$B$3:$F$3,0)),"?"))</f>
        <v/>
      </c>
      <c r="R145" s="11">
        <f>IF(OR(J145="",K145=""),"",IFERROR(INDEX('Evaluation table'!$B$4:$F$8,MATCH(TRIM(SUBSTITUTE(J145,"’","'")),'Evaluation table'!$A$4:$A$8,0),MATCH(TRIM(SUBSTITUTE(K145,"’","'")),'Evaluation table'!$B$3:$F$3,0)),"?"))</f>
        <v/>
      </c>
      <c r="S145" s="11">
        <f>IF(OR(L145="",M145=""),"",IFERROR(INDEX('Evaluation table'!$B$4:$F$8,MATCH(TRIM(SUBSTITUTE(L145,"’","'")),'Evaluation table'!$A$4:$A$8,0),MATCH(TRIM(SUBSTITUTE(M145,"’","'")),'Evaluation table'!$B$3:$F$3,0)),"?"))</f>
        <v/>
      </c>
    </row>
    <row r="146">
      <c r="A146" s="2" t="n">
        <v>128</v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1">
        <f>IF(OR(B146="",C146=""),"",IFERROR(INDEX('Evaluation table'!$B$4:$F$8,MATCH(TRIM(SUBSTITUTE(B146,"’","'")),'Evaluation table'!$A$4:$A$8,0),MATCH(TRIM(SUBSTITUTE(C146,"’","'")),'Evaluation table'!$B$3:$F$3,0)),"?"))</f>
        <v/>
      </c>
      <c r="O146" s="11">
        <f>IF(OR(D146="",E146=""),"",IFERROR(INDEX('Evaluation table'!$B$4:$F$8,MATCH(TRIM(SUBSTITUTE(D146,"’","'")),'Evaluation table'!$A$4:$A$8,0),MATCH(TRIM(SUBSTITUTE(E146,"’","'")),'Evaluation table'!$B$3:$F$3,0)),"?"))</f>
        <v/>
      </c>
      <c r="P146" s="11">
        <f>IF(OR(F146="",G146=""),"",IFERROR(INDEX('Evaluation table'!$B$4:$F$8,MATCH(TRIM(SUBSTITUTE(F146,"’","'")),'Evaluation table'!$A$4:$A$8,0),MATCH(TRIM(SUBSTITUTE(G146,"’","'")),'Evaluation table'!$B$3:$F$3,0)),"?"))</f>
        <v/>
      </c>
      <c r="Q146" s="11">
        <f>IF(OR(H146="",I146=""),"",IFERROR(INDEX('Evaluation table'!$B$4:$F$8,MATCH(TRIM(SUBSTITUTE(H146,"’","'")),'Evaluation table'!$A$4:$A$8,0),MATCH(TRIM(SUBSTITUTE(I146,"’","'")),'Evaluation table'!$B$3:$F$3,0)),"?"))</f>
        <v/>
      </c>
      <c r="R146" s="11">
        <f>IF(OR(J146="",K146=""),"",IFERROR(INDEX('Evaluation table'!$B$4:$F$8,MATCH(TRIM(SUBSTITUTE(J146,"’","'")),'Evaluation table'!$A$4:$A$8,0),MATCH(TRIM(SUBSTITUTE(K146,"’","'")),'Evaluation table'!$B$3:$F$3,0)),"?"))</f>
        <v/>
      </c>
      <c r="S146" s="11">
        <f>IF(OR(L146="",M146=""),"",IFERROR(INDEX('Evaluation table'!$B$4:$F$8,MATCH(TRIM(SUBSTITUTE(L146,"’","'")),'Evaluation table'!$A$4:$A$8,0),MATCH(TRIM(SUBSTITUTE(M146,"’","'")),'Evaluation table'!$B$3:$F$3,0)),"?"))</f>
        <v/>
      </c>
    </row>
    <row r="147">
      <c r="A147" s="2" t="n">
        <v>129</v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1">
        <f>IF(OR(B147="",C147=""),"",IFERROR(INDEX('Evaluation table'!$B$4:$F$8,MATCH(TRIM(SUBSTITUTE(B147,"’","'")),'Evaluation table'!$A$4:$A$8,0),MATCH(TRIM(SUBSTITUTE(C147,"’","'")),'Evaluation table'!$B$3:$F$3,0)),"?"))</f>
        <v/>
      </c>
      <c r="O147" s="11">
        <f>IF(OR(D147="",E147=""),"",IFERROR(INDEX('Evaluation table'!$B$4:$F$8,MATCH(TRIM(SUBSTITUTE(D147,"’","'")),'Evaluation table'!$A$4:$A$8,0),MATCH(TRIM(SUBSTITUTE(E147,"’","'")),'Evaluation table'!$B$3:$F$3,0)),"?"))</f>
        <v/>
      </c>
      <c r="P147" s="11">
        <f>IF(OR(F147="",G147=""),"",IFERROR(INDEX('Evaluation table'!$B$4:$F$8,MATCH(TRIM(SUBSTITUTE(F147,"’","'")),'Evaluation table'!$A$4:$A$8,0),MATCH(TRIM(SUBSTITUTE(G147,"’","'")),'Evaluation table'!$B$3:$F$3,0)),"?"))</f>
        <v/>
      </c>
      <c r="Q147" s="11">
        <f>IF(OR(H147="",I147=""),"",IFERROR(INDEX('Evaluation table'!$B$4:$F$8,MATCH(TRIM(SUBSTITUTE(H147,"’","'")),'Evaluation table'!$A$4:$A$8,0),MATCH(TRIM(SUBSTITUTE(I147,"’","'")),'Evaluation table'!$B$3:$F$3,0)),"?"))</f>
        <v/>
      </c>
      <c r="R147" s="11">
        <f>IF(OR(J147="",K147=""),"",IFERROR(INDEX('Evaluation table'!$B$4:$F$8,MATCH(TRIM(SUBSTITUTE(J147,"’","'")),'Evaluation table'!$A$4:$A$8,0),MATCH(TRIM(SUBSTITUTE(K147,"’","'")),'Evaluation table'!$B$3:$F$3,0)),"?"))</f>
        <v/>
      </c>
      <c r="S147" s="11">
        <f>IF(OR(L147="",M147=""),"",IFERROR(INDEX('Evaluation table'!$B$4:$F$8,MATCH(TRIM(SUBSTITUTE(L147,"’","'")),'Evaluation table'!$A$4:$A$8,0),MATCH(TRIM(SUBSTITUTE(M147,"’","'")),'Evaluation table'!$B$3:$F$3,0)),"?"))</f>
        <v/>
      </c>
    </row>
    <row r="148">
      <c r="A148" s="2" t="n">
        <v>130</v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1">
        <f>IF(OR(B148="",C148=""),"",IFERROR(INDEX('Evaluation table'!$B$4:$F$8,MATCH(TRIM(SUBSTITUTE(B148,"’","'")),'Evaluation table'!$A$4:$A$8,0),MATCH(TRIM(SUBSTITUTE(C148,"’","'")),'Evaluation table'!$B$3:$F$3,0)),"?"))</f>
        <v/>
      </c>
      <c r="O148" s="11">
        <f>IF(OR(D148="",E148=""),"",IFERROR(INDEX('Evaluation table'!$B$4:$F$8,MATCH(TRIM(SUBSTITUTE(D148,"’","'")),'Evaluation table'!$A$4:$A$8,0),MATCH(TRIM(SUBSTITUTE(E148,"’","'")),'Evaluation table'!$B$3:$F$3,0)),"?"))</f>
        <v/>
      </c>
      <c r="P148" s="11">
        <f>IF(OR(F148="",G148=""),"",IFERROR(INDEX('Evaluation table'!$B$4:$F$8,MATCH(TRIM(SUBSTITUTE(F148,"’","'")),'Evaluation table'!$A$4:$A$8,0),MATCH(TRIM(SUBSTITUTE(G148,"’","'")),'Evaluation table'!$B$3:$F$3,0)),"?"))</f>
        <v/>
      </c>
      <c r="Q148" s="11">
        <f>IF(OR(H148="",I148=""),"",IFERROR(INDEX('Evaluation table'!$B$4:$F$8,MATCH(TRIM(SUBSTITUTE(H148,"’","'")),'Evaluation table'!$A$4:$A$8,0),MATCH(TRIM(SUBSTITUTE(I148,"’","'")),'Evaluation table'!$B$3:$F$3,0)),"?"))</f>
        <v/>
      </c>
      <c r="R148" s="11">
        <f>IF(OR(J148="",K148=""),"",IFERROR(INDEX('Evaluation table'!$B$4:$F$8,MATCH(TRIM(SUBSTITUTE(J148,"’","'")),'Evaluation table'!$A$4:$A$8,0),MATCH(TRIM(SUBSTITUTE(K148,"’","'")),'Evaluation table'!$B$3:$F$3,0)),"?"))</f>
        <v/>
      </c>
      <c r="S148" s="11">
        <f>IF(OR(L148="",M148=""),"",IFERROR(INDEX('Evaluation table'!$B$4:$F$8,MATCH(TRIM(SUBSTITUTE(L148,"’","'")),'Evaluation table'!$A$4:$A$8,0),MATCH(TRIM(SUBSTITUTE(M148,"’","'")),'Evaluation table'!$B$3:$F$3,0)),"?"))</f>
        <v/>
      </c>
    </row>
    <row r="149">
      <c r="A149" s="2" t="n">
        <v>131</v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1">
        <f>IF(OR(B149="",C149=""),"",IFERROR(INDEX('Evaluation table'!$B$4:$F$8,MATCH(TRIM(SUBSTITUTE(B149,"’","'")),'Evaluation table'!$A$4:$A$8,0),MATCH(TRIM(SUBSTITUTE(C149,"’","'")),'Evaluation table'!$B$3:$F$3,0)),"?"))</f>
        <v/>
      </c>
      <c r="O149" s="11">
        <f>IF(OR(D149="",E149=""),"",IFERROR(INDEX('Evaluation table'!$B$4:$F$8,MATCH(TRIM(SUBSTITUTE(D149,"’","'")),'Evaluation table'!$A$4:$A$8,0),MATCH(TRIM(SUBSTITUTE(E149,"’","'")),'Evaluation table'!$B$3:$F$3,0)),"?"))</f>
        <v/>
      </c>
      <c r="P149" s="11">
        <f>IF(OR(F149="",G149=""),"",IFERROR(INDEX('Evaluation table'!$B$4:$F$8,MATCH(TRIM(SUBSTITUTE(F149,"’","'")),'Evaluation table'!$A$4:$A$8,0),MATCH(TRIM(SUBSTITUTE(G149,"’","'")),'Evaluation table'!$B$3:$F$3,0)),"?"))</f>
        <v/>
      </c>
      <c r="Q149" s="11">
        <f>IF(OR(H149="",I149=""),"",IFERROR(INDEX('Evaluation table'!$B$4:$F$8,MATCH(TRIM(SUBSTITUTE(H149,"’","'")),'Evaluation table'!$A$4:$A$8,0),MATCH(TRIM(SUBSTITUTE(I149,"’","'")),'Evaluation table'!$B$3:$F$3,0)),"?"))</f>
        <v/>
      </c>
      <c r="R149" s="11">
        <f>IF(OR(J149="",K149=""),"",IFERROR(INDEX('Evaluation table'!$B$4:$F$8,MATCH(TRIM(SUBSTITUTE(J149,"’","'")),'Evaluation table'!$A$4:$A$8,0),MATCH(TRIM(SUBSTITUTE(K149,"’","'")),'Evaluation table'!$B$3:$F$3,0)),"?"))</f>
        <v/>
      </c>
      <c r="S149" s="11">
        <f>IF(OR(L149="",M149=""),"",IFERROR(INDEX('Evaluation table'!$B$4:$F$8,MATCH(TRIM(SUBSTITUTE(L149,"’","'")),'Evaluation table'!$A$4:$A$8,0),MATCH(TRIM(SUBSTITUTE(M149,"’","'")),'Evaluation table'!$B$3:$F$3,0)),"?"))</f>
        <v/>
      </c>
    </row>
    <row r="150">
      <c r="A150" s="2" t="n">
        <v>132</v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1">
        <f>IF(OR(B150="",C150=""),"",IFERROR(INDEX('Evaluation table'!$B$4:$F$8,MATCH(TRIM(SUBSTITUTE(B150,"’","'")),'Evaluation table'!$A$4:$A$8,0),MATCH(TRIM(SUBSTITUTE(C150,"’","'")),'Evaluation table'!$B$3:$F$3,0)),"?"))</f>
        <v/>
      </c>
      <c r="O150" s="11">
        <f>IF(OR(D150="",E150=""),"",IFERROR(INDEX('Evaluation table'!$B$4:$F$8,MATCH(TRIM(SUBSTITUTE(D150,"’","'")),'Evaluation table'!$A$4:$A$8,0),MATCH(TRIM(SUBSTITUTE(E150,"’","'")),'Evaluation table'!$B$3:$F$3,0)),"?"))</f>
        <v/>
      </c>
      <c r="P150" s="11">
        <f>IF(OR(F150="",G150=""),"",IFERROR(INDEX('Evaluation table'!$B$4:$F$8,MATCH(TRIM(SUBSTITUTE(F150,"’","'")),'Evaluation table'!$A$4:$A$8,0),MATCH(TRIM(SUBSTITUTE(G150,"’","'")),'Evaluation table'!$B$3:$F$3,0)),"?"))</f>
        <v/>
      </c>
      <c r="Q150" s="11">
        <f>IF(OR(H150="",I150=""),"",IFERROR(INDEX('Evaluation table'!$B$4:$F$8,MATCH(TRIM(SUBSTITUTE(H150,"’","'")),'Evaluation table'!$A$4:$A$8,0),MATCH(TRIM(SUBSTITUTE(I150,"’","'")),'Evaluation table'!$B$3:$F$3,0)),"?"))</f>
        <v/>
      </c>
      <c r="R150" s="11">
        <f>IF(OR(J150="",K150=""),"",IFERROR(INDEX('Evaluation table'!$B$4:$F$8,MATCH(TRIM(SUBSTITUTE(J150,"’","'")),'Evaluation table'!$A$4:$A$8,0),MATCH(TRIM(SUBSTITUTE(K150,"’","'")),'Evaluation table'!$B$3:$F$3,0)),"?"))</f>
        <v/>
      </c>
      <c r="S150" s="11">
        <f>IF(OR(L150="",M150=""),"",IFERROR(INDEX('Evaluation table'!$B$4:$F$8,MATCH(TRIM(SUBSTITUTE(L150,"’","'")),'Evaluation table'!$A$4:$A$8,0),MATCH(TRIM(SUBSTITUTE(M150,"’","'")),'Evaluation table'!$B$3:$F$3,0)),"?"))</f>
        <v/>
      </c>
    </row>
    <row r="151">
      <c r="A151" s="2" t="n">
        <v>133</v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1">
        <f>IF(OR(B151="",C151=""),"",IFERROR(INDEX('Evaluation table'!$B$4:$F$8,MATCH(TRIM(SUBSTITUTE(B151,"’","'")),'Evaluation table'!$A$4:$A$8,0),MATCH(TRIM(SUBSTITUTE(C151,"’","'")),'Evaluation table'!$B$3:$F$3,0)),"?"))</f>
        <v/>
      </c>
      <c r="O151" s="11">
        <f>IF(OR(D151="",E151=""),"",IFERROR(INDEX('Evaluation table'!$B$4:$F$8,MATCH(TRIM(SUBSTITUTE(D151,"’","'")),'Evaluation table'!$A$4:$A$8,0),MATCH(TRIM(SUBSTITUTE(E151,"’","'")),'Evaluation table'!$B$3:$F$3,0)),"?"))</f>
        <v/>
      </c>
      <c r="P151" s="11">
        <f>IF(OR(F151="",G151=""),"",IFERROR(INDEX('Evaluation table'!$B$4:$F$8,MATCH(TRIM(SUBSTITUTE(F151,"’","'")),'Evaluation table'!$A$4:$A$8,0),MATCH(TRIM(SUBSTITUTE(G151,"’","'")),'Evaluation table'!$B$3:$F$3,0)),"?"))</f>
        <v/>
      </c>
      <c r="Q151" s="11">
        <f>IF(OR(H151="",I151=""),"",IFERROR(INDEX('Evaluation table'!$B$4:$F$8,MATCH(TRIM(SUBSTITUTE(H151,"’","'")),'Evaluation table'!$A$4:$A$8,0),MATCH(TRIM(SUBSTITUTE(I151,"’","'")),'Evaluation table'!$B$3:$F$3,0)),"?"))</f>
        <v/>
      </c>
      <c r="R151" s="11">
        <f>IF(OR(J151="",K151=""),"",IFERROR(INDEX('Evaluation table'!$B$4:$F$8,MATCH(TRIM(SUBSTITUTE(J151,"’","'")),'Evaluation table'!$A$4:$A$8,0),MATCH(TRIM(SUBSTITUTE(K151,"’","'")),'Evaluation table'!$B$3:$F$3,0)),"?"))</f>
        <v/>
      </c>
      <c r="S151" s="11">
        <f>IF(OR(L151="",M151=""),"",IFERROR(INDEX('Evaluation table'!$B$4:$F$8,MATCH(TRIM(SUBSTITUTE(L151,"’","'")),'Evaluation table'!$A$4:$A$8,0),MATCH(TRIM(SUBSTITUTE(M151,"’","'")),'Evaluation table'!$B$3:$F$3,0)),"?"))</f>
        <v/>
      </c>
    </row>
    <row r="152">
      <c r="A152" s="2" t="n">
        <v>134</v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1">
        <f>IF(OR(B152="",C152=""),"",IFERROR(INDEX('Evaluation table'!$B$4:$F$8,MATCH(TRIM(SUBSTITUTE(B152,"’","'")),'Evaluation table'!$A$4:$A$8,0),MATCH(TRIM(SUBSTITUTE(C152,"’","'")),'Evaluation table'!$B$3:$F$3,0)),"?"))</f>
        <v/>
      </c>
      <c r="O152" s="11">
        <f>IF(OR(D152="",E152=""),"",IFERROR(INDEX('Evaluation table'!$B$4:$F$8,MATCH(TRIM(SUBSTITUTE(D152,"’","'")),'Evaluation table'!$A$4:$A$8,0),MATCH(TRIM(SUBSTITUTE(E152,"’","'")),'Evaluation table'!$B$3:$F$3,0)),"?"))</f>
        <v/>
      </c>
      <c r="P152" s="11">
        <f>IF(OR(F152="",G152=""),"",IFERROR(INDEX('Evaluation table'!$B$4:$F$8,MATCH(TRIM(SUBSTITUTE(F152,"’","'")),'Evaluation table'!$A$4:$A$8,0),MATCH(TRIM(SUBSTITUTE(G152,"’","'")),'Evaluation table'!$B$3:$F$3,0)),"?"))</f>
        <v/>
      </c>
      <c r="Q152" s="11">
        <f>IF(OR(H152="",I152=""),"",IFERROR(INDEX('Evaluation table'!$B$4:$F$8,MATCH(TRIM(SUBSTITUTE(H152,"’","'")),'Evaluation table'!$A$4:$A$8,0),MATCH(TRIM(SUBSTITUTE(I152,"’","'")),'Evaluation table'!$B$3:$F$3,0)),"?"))</f>
        <v/>
      </c>
      <c r="R152" s="11">
        <f>IF(OR(J152="",K152=""),"",IFERROR(INDEX('Evaluation table'!$B$4:$F$8,MATCH(TRIM(SUBSTITUTE(J152,"’","'")),'Evaluation table'!$A$4:$A$8,0),MATCH(TRIM(SUBSTITUTE(K152,"’","'")),'Evaluation table'!$B$3:$F$3,0)),"?"))</f>
        <v/>
      </c>
      <c r="S152" s="11">
        <f>IF(OR(L152="",M152=""),"",IFERROR(INDEX('Evaluation table'!$B$4:$F$8,MATCH(TRIM(SUBSTITUTE(L152,"’","'")),'Evaluation table'!$A$4:$A$8,0),MATCH(TRIM(SUBSTITUTE(M152,"’","'")),'Evaluation table'!$B$3:$F$3,0)),"?"))</f>
        <v/>
      </c>
    </row>
    <row r="153">
      <c r="A153" s="2" t="n">
        <v>135</v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1">
        <f>IF(OR(B153="",C153=""),"",IFERROR(INDEX('Evaluation table'!$B$4:$F$8,MATCH(TRIM(SUBSTITUTE(B153,"’","'")),'Evaluation table'!$A$4:$A$8,0),MATCH(TRIM(SUBSTITUTE(C153,"’","'")),'Evaluation table'!$B$3:$F$3,0)),"?"))</f>
        <v/>
      </c>
      <c r="O153" s="11">
        <f>IF(OR(D153="",E153=""),"",IFERROR(INDEX('Evaluation table'!$B$4:$F$8,MATCH(TRIM(SUBSTITUTE(D153,"’","'")),'Evaluation table'!$A$4:$A$8,0),MATCH(TRIM(SUBSTITUTE(E153,"’","'")),'Evaluation table'!$B$3:$F$3,0)),"?"))</f>
        <v/>
      </c>
      <c r="P153" s="11">
        <f>IF(OR(F153="",G153=""),"",IFERROR(INDEX('Evaluation table'!$B$4:$F$8,MATCH(TRIM(SUBSTITUTE(F153,"’","'")),'Evaluation table'!$A$4:$A$8,0),MATCH(TRIM(SUBSTITUTE(G153,"’","'")),'Evaluation table'!$B$3:$F$3,0)),"?"))</f>
        <v/>
      </c>
      <c r="Q153" s="11">
        <f>IF(OR(H153="",I153=""),"",IFERROR(INDEX('Evaluation table'!$B$4:$F$8,MATCH(TRIM(SUBSTITUTE(H153,"’","'")),'Evaluation table'!$A$4:$A$8,0),MATCH(TRIM(SUBSTITUTE(I153,"’","'")),'Evaluation table'!$B$3:$F$3,0)),"?"))</f>
        <v/>
      </c>
      <c r="R153" s="11">
        <f>IF(OR(J153="",K153=""),"",IFERROR(INDEX('Evaluation table'!$B$4:$F$8,MATCH(TRIM(SUBSTITUTE(J153,"’","'")),'Evaluation table'!$A$4:$A$8,0),MATCH(TRIM(SUBSTITUTE(K153,"’","'")),'Evaluation table'!$B$3:$F$3,0)),"?"))</f>
        <v/>
      </c>
      <c r="S153" s="11">
        <f>IF(OR(L153="",M153=""),"",IFERROR(INDEX('Evaluation table'!$B$4:$F$8,MATCH(TRIM(SUBSTITUTE(L153,"’","'")),'Evaluation table'!$A$4:$A$8,0),MATCH(TRIM(SUBSTITUTE(M153,"’","'")),'Evaluation table'!$B$3:$F$3,0)),"?"))</f>
        <v/>
      </c>
    </row>
    <row r="154">
      <c r="A154" s="2" t="n">
        <v>136</v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1">
        <f>IF(OR(B154="",C154=""),"",IFERROR(INDEX('Evaluation table'!$B$4:$F$8,MATCH(TRIM(SUBSTITUTE(B154,"’","'")),'Evaluation table'!$A$4:$A$8,0),MATCH(TRIM(SUBSTITUTE(C154,"’","'")),'Evaluation table'!$B$3:$F$3,0)),"?"))</f>
        <v/>
      </c>
      <c r="O154" s="11">
        <f>IF(OR(D154="",E154=""),"",IFERROR(INDEX('Evaluation table'!$B$4:$F$8,MATCH(TRIM(SUBSTITUTE(D154,"’","'")),'Evaluation table'!$A$4:$A$8,0),MATCH(TRIM(SUBSTITUTE(E154,"’","'")),'Evaluation table'!$B$3:$F$3,0)),"?"))</f>
        <v/>
      </c>
      <c r="P154" s="11">
        <f>IF(OR(F154="",G154=""),"",IFERROR(INDEX('Evaluation table'!$B$4:$F$8,MATCH(TRIM(SUBSTITUTE(F154,"’","'")),'Evaluation table'!$A$4:$A$8,0),MATCH(TRIM(SUBSTITUTE(G154,"’","'")),'Evaluation table'!$B$3:$F$3,0)),"?"))</f>
        <v/>
      </c>
      <c r="Q154" s="11">
        <f>IF(OR(H154="",I154=""),"",IFERROR(INDEX('Evaluation table'!$B$4:$F$8,MATCH(TRIM(SUBSTITUTE(H154,"’","'")),'Evaluation table'!$A$4:$A$8,0),MATCH(TRIM(SUBSTITUTE(I154,"’","'")),'Evaluation table'!$B$3:$F$3,0)),"?"))</f>
        <v/>
      </c>
      <c r="R154" s="11">
        <f>IF(OR(J154="",K154=""),"",IFERROR(INDEX('Evaluation table'!$B$4:$F$8,MATCH(TRIM(SUBSTITUTE(J154,"’","'")),'Evaluation table'!$A$4:$A$8,0),MATCH(TRIM(SUBSTITUTE(K154,"’","'")),'Evaluation table'!$B$3:$F$3,0)),"?"))</f>
        <v/>
      </c>
      <c r="S154" s="11">
        <f>IF(OR(L154="",M154=""),"",IFERROR(INDEX('Evaluation table'!$B$4:$F$8,MATCH(TRIM(SUBSTITUTE(L154,"’","'")),'Evaluation table'!$A$4:$A$8,0),MATCH(TRIM(SUBSTITUTE(M154,"’","'")),'Evaluation table'!$B$3:$F$3,0)),"?"))</f>
        <v/>
      </c>
    </row>
    <row r="155">
      <c r="A155" s="2" t="n">
        <v>137</v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1">
        <f>IF(OR(B155="",C155=""),"",IFERROR(INDEX('Evaluation table'!$B$4:$F$8,MATCH(TRIM(SUBSTITUTE(B155,"’","'")),'Evaluation table'!$A$4:$A$8,0),MATCH(TRIM(SUBSTITUTE(C155,"’","'")),'Evaluation table'!$B$3:$F$3,0)),"?"))</f>
        <v/>
      </c>
      <c r="O155" s="11">
        <f>IF(OR(D155="",E155=""),"",IFERROR(INDEX('Evaluation table'!$B$4:$F$8,MATCH(TRIM(SUBSTITUTE(D155,"’","'")),'Evaluation table'!$A$4:$A$8,0),MATCH(TRIM(SUBSTITUTE(E155,"’","'")),'Evaluation table'!$B$3:$F$3,0)),"?"))</f>
        <v/>
      </c>
      <c r="P155" s="11">
        <f>IF(OR(F155="",G155=""),"",IFERROR(INDEX('Evaluation table'!$B$4:$F$8,MATCH(TRIM(SUBSTITUTE(F155,"’","'")),'Evaluation table'!$A$4:$A$8,0),MATCH(TRIM(SUBSTITUTE(G155,"’","'")),'Evaluation table'!$B$3:$F$3,0)),"?"))</f>
        <v/>
      </c>
      <c r="Q155" s="11">
        <f>IF(OR(H155="",I155=""),"",IFERROR(INDEX('Evaluation table'!$B$4:$F$8,MATCH(TRIM(SUBSTITUTE(H155,"’","'")),'Evaluation table'!$A$4:$A$8,0),MATCH(TRIM(SUBSTITUTE(I155,"’","'")),'Evaluation table'!$B$3:$F$3,0)),"?"))</f>
        <v/>
      </c>
      <c r="R155" s="11">
        <f>IF(OR(J155="",K155=""),"",IFERROR(INDEX('Evaluation table'!$B$4:$F$8,MATCH(TRIM(SUBSTITUTE(J155,"’","'")),'Evaluation table'!$A$4:$A$8,0),MATCH(TRIM(SUBSTITUTE(K155,"’","'")),'Evaluation table'!$B$3:$F$3,0)),"?"))</f>
        <v/>
      </c>
      <c r="S155" s="11">
        <f>IF(OR(L155="",M155=""),"",IFERROR(INDEX('Evaluation table'!$B$4:$F$8,MATCH(TRIM(SUBSTITUTE(L155,"’","'")),'Evaluation table'!$A$4:$A$8,0),MATCH(TRIM(SUBSTITUTE(M155,"’","'")),'Evaluation table'!$B$3:$F$3,0)),"?"))</f>
        <v/>
      </c>
    </row>
    <row r="156">
      <c r="A156" s="2" t="n">
        <v>138</v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1">
        <f>IF(OR(B156="",C156=""),"",IFERROR(INDEX('Evaluation table'!$B$4:$F$8,MATCH(TRIM(SUBSTITUTE(B156,"’","'")),'Evaluation table'!$A$4:$A$8,0),MATCH(TRIM(SUBSTITUTE(C156,"’","'")),'Evaluation table'!$B$3:$F$3,0)),"?"))</f>
        <v/>
      </c>
      <c r="O156" s="11">
        <f>IF(OR(D156="",E156=""),"",IFERROR(INDEX('Evaluation table'!$B$4:$F$8,MATCH(TRIM(SUBSTITUTE(D156,"’","'")),'Evaluation table'!$A$4:$A$8,0),MATCH(TRIM(SUBSTITUTE(E156,"’","'")),'Evaluation table'!$B$3:$F$3,0)),"?"))</f>
        <v/>
      </c>
      <c r="P156" s="11">
        <f>IF(OR(F156="",G156=""),"",IFERROR(INDEX('Evaluation table'!$B$4:$F$8,MATCH(TRIM(SUBSTITUTE(F156,"’","'")),'Evaluation table'!$A$4:$A$8,0),MATCH(TRIM(SUBSTITUTE(G156,"’","'")),'Evaluation table'!$B$3:$F$3,0)),"?"))</f>
        <v/>
      </c>
      <c r="Q156" s="11">
        <f>IF(OR(H156="",I156=""),"",IFERROR(INDEX('Evaluation table'!$B$4:$F$8,MATCH(TRIM(SUBSTITUTE(H156,"’","'")),'Evaluation table'!$A$4:$A$8,0),MATCH(TRIM(SUBSTITUTE(I156,"’","'")),'Evaluation table'!$B$3:$F$3,0)),"?"))</f>
        <v/>
      </c>
      <c r="R156" s="11">
        <f>IF(OR(J156="",K156=""),"",IFERROR(INDEX('Evaluation table'!$B$4:$F$8,MATCH(TRIM(SUBSTITUTE(J156,"’","'")),'Evaluation table'!$A$4:$A$8,0),MATCH(TRIM(SUBSTITUTE(K156,"’","'")),'Evaluation table'!$B$3:$F$3,0)),"?"))</f>
        <v/>
      </c>
      <c r="S156" s="11">
        <f>IF(OR(L156="",M156=""),"",IFERROR(INDEX('Evaluation table'!$B$4:$F$8,MATCH(TRIM(SUBSTITUTE(L156,"’","'")),'Evaluation table'!$A$4:$A$8,0),MATCH(TRIM(SUBSTITUTE(M156,"’","'")),'Evaluation table'!$B$3:$F$3,0)),"?"))</f>
        <v/>
      </c>
    </row>
    <row r="157">
      <c r="A157" s="2" t="n">
        <v>139</v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1">
        <f>IF(OR(B157="",C157=""),"",IFERROR(INDEX('Evaluation table'!$B$4:$F$8,MATCH(TRIM(SUBSTITUTE(B157,"’","'")),'Evaluation table'!$A$4:$A$8,0),MATCH(TRIM(SUBSTITUTE(C157,"’","'")),'Evaluation table'!$B$3:$F$3,0)),"?"))</f>
        <v/>
      </c>
      <c r="O157" s="11">
        <f>IF(OR(D157="",E157=""),"",IFERROR(INDEX('Evaluation table'!$B$4:$F$8,MATCH(TRIM(SUBSTITUTE(D157,"’","'")),'Evaluation table'!$A$4:$A$8,0),MATCH(TRIM(SUBSTITUTE(E157,"’","'")),'Evaluation table'!$B$3:$F$3,0)),"?"))</f>
        <v/>
      </c>
      <c r="P157" s="11">
        <f>IF(OR(F157="",G157=""),"",IFERROR(INDEX('Evaluation table'!$B$4:$F$8,MATCH(TRIM(SUBSTITUTE(F157,"’","'")),'Evaluation table'!$A$4:$A$8,0),MATCH(TRIM(SUBSTITUTE(G157,"’","'")),'Evaluation table'!$B$3:$F$3,0)),"?"))</f>
        <v/>
      </c>
      <c r="Q157" s="11">
        <f>IF(OR(H157="",I157=""),"",IFERROR(INDEX('Evaluation table'!$B$4:$F$8,MATCH(TRIM(SUBSTITUTE(H157,"’","'")),'Evaluation table'!$A$4:$A$8,0),MATCH(TRIM(SUBSTITUTE(I157,"’","'")),'Evaluation table'!$B$3:$F$3,0)),"?"))</f>
        <v/>
      </c>
      <c r="R157" s="11">
        <f>IF(OR(J157="",K157=""),"",IFERROR(INDEX('Evaluation table'!$B$4:$F$8,MATCH(TRIM(SUBSTITUTE(J157,"’","'")),'Evaluation table'!$A$4:$A$8,0),MATCH(TRIM(SUBSTITUTE(K157,"’","'")),'Evaluation table'!$B$3:$F$3,0)),"?"))</f>
        <v/>
      </c>
      <c r="S157" s="11">
        <f>IF(OR(L157="",M157=""),"",IFERROR(INDEX('Evaluation table'!$B$4:$F$8,MATCH(TRIM(SUBSTITUTE(L157,"’","'")),'Evaluation table'!$A$4:$A$8,0),MATCH(TRIM(SUBSTITUTE(M157,"’","'")),'Evaluation table'!$B$3:$F$3,0)),"?"))</f>
        <v/>
      </c>
    </row>
    <row r="158">
      <c r="A158" s="2" t="n">
        <v>140</v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1">
        <f>IF(OR(B158="",C158=""),"",IFERROR(INDEX('Evaluation table'!$B$4:$F$8,MATCH(TRIM(SUBSTITUTE(B158,"’","'")),'Evaluation table'!$A$4:$A$8,0),MATCH(TRIM(SUBSTITUTE(C158,"’","'")),'Evaluation table'!$B$3:$F$3,0)),"?"))</f>
        <v/>
      </c>
      <c r="O158" s="11">
        <f>IF(OR(D158="",E158=""),"",IFERROR(INDEX('Evaluation table'!$B$4:$F$8,MATCH(TRIM(SUBSTITUTE(D158,"’","'")),'Evaluation table'!$A$4:$A$8,0),MATCH(TRIM(SUBSTITUTE(E158,"’","'")),'Evaluation table'!$B$3:$F$3,0)),"?"))</f>
        <v/>
      </c>
      <c r="P158" s="11">
        <f>IF(OR(F158="",G158=""),"",IFERROR(INDEX('Evaluation table'!$B$4:$F$8,MATCH(TRIM(SUBSTITUTE(F158,"’","'")),'Evaluation table'!$A$4:$A$8,0),MATCH(TRIM(SUBSTITUTE(G158,"’","'")),'Evaluation table'!$B$3:$F$3,0)),"?"))</f>
        <v/>
      </c>
      <c r="Q158" s="11">
        <f>IF(OR(H158="",I158=""),"",IFERROR(INDEX('Evaluation table'!$B$4:$F$8,MATCH(TRIM(SUBSTITUTE(H158,"’","'")),'Evaluation table'!$A$4:$A$8,0),MATCH(TRIM(SUBSTITUTE(I158,"’","'")),'Evaluation table'!$B$3:$F$3,0)),"?"))</f>
        <v/>
      </c>
      <c r="R158" s="11">
        <f>IF(OR(J158="",K158=""),"",IFERROR(INDEX('Evaluation table'!$B$4:$F$8,MATCH(TRIM(SUBSTITUTE(J158,"’","'")),'Evaluation table'!$A$4:$A$8,0),MATCH(TRIM(SUBSTITUTE(K158,"’","'")),'Evaluation table'!$B$3:$F$3,0)),"?"))</f>
        <v/>
      </c>
      <c r="S158" s="11">
        <f>IF(OR(L158="",M158=""),"",IFERROR(INDEX('Evaluation table'!$B$4:$F$8,MATCH(TRIM(SUBSTITUTE(L158,"’","'")),'Evaluation table'!$A$4:$A$8,0),MATCH(TRIM(SUBSTITUTE(M158,"’","'")),'Evaluation table'!$B$3:$F$3,0)),"?"))</f>
        <v/>
      </c>
    </row>
    <row r="159">
      <c r="A159" s="2" t="n">
        <v>141</v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1">
        <f>IF(OR(B159="",C159=""),"",IFERROR(INDEX('Evaluation table'!$B$4:$F$8,MATCH(TRIM(SUBSTITUTE(B159,"’","'")),'Evaluation table'!$A$4:$A$8,0),MATCH(TRIM(SUBSTITUTE(C159,"’","'")),'Evaluation table'!$B$3:$F$3,0)),"?"))</f>
        <v/>
      </c>
      <c r="O159" s="11">
        <f>IF(OR(D159="",E159=""),"",IFERROR(INDEX('Evaluation table'!$B$4:$F$8,MATCH(TRIM(SUBSTITUTE(D159,"’","'")),'Evaluation table'!$A$4:$A$8,0),MATCH(TRIM(SUBSTITUTE(E159,"’","'")),'Evaluation table'!$B$3:$F$3,0)),"?"))</f>
        <v/>
      </c>
      <c r="P159" s="11">
        <f>IF(OR(F159="",G159=""),"",IFERROR(INDEX('Evaluation table'!$B$4:$F$8,MATCH(TRIM(SUBSTITUTE(F159,"’","'")),'Evaluation table'!$A$4:$A$8,0),MATCH(TRIM(SUBSTITUTE(G159,"’","'")),'Evaluation table'!$B$3:$F$3,0)),"?"))</f>
        <v/>
      </c>
      <c r="Q159" s="11">
        <f>IF(OR(H159="",I159=""),"",IFERROR(INDEX('Evaluation table'!$B$4:$F$8,MATCH(TRIM(SUBSTITUTE(H159,"’","'")),'Evaluation table'!$A$4:$A$8,0),MATCH(TRIM(SUBSTITUTE(I159,"’","'")),'Evaluation table'!$B$3:$F$3,0)),"?"))</f>
        <v/>
      </c>
      <c r="R159" s="11">
        <f>IF(OR(J159="",K159=""),"",IFERROR(INDEX('Evaluation table'!$B$4:$F$8,MATCH(TRIM(SUBSTITUTE(J159,"’","'")),'Evaluation table'!$A$4:$A$8,0),MATCH(TRIM(SUBSTITUTE(K159,"’","'")),'Evaluation table'!$B$3:$F$3,0)),"?"))</f>
        <v/>
      </c>
      <c r="S159" s="11">
        <f>IF(OR(L159="",M159=""),"",IFERROR(INDEX('Evaluation table'!$B$4:$F$8,MATCH(TRIM(SUBSTITUTE(L159,"’","'")),'Evaluation table'!$A$4:$A$8,0),MATCH(TRIM(SUBSTITUTE(M159,"’","'")),'Evaluation table'!$B$3:$F$3,0)),"?"))</f>
        <v/>
      </c>
    </row>
    <row r="160">
      <c r="A160" s="2" t="n">
        <v>142</v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1">
        <f>IF(OR(B160="",C160=""),"",IFERROR(INDEX('Evaluation table'!$B$4:$F$8,MATCH(TRIM(SUBSTITUTE(B160,"’","'")),'Evaluation table'!$A$4:$A$8,0),MATCH(TRIM(SUBSTITUTE(C160,"’","'")),'Evaluation table'!$B$3:$F$3,0)),"?"))</f>
        <v/>
      </c>
      <c r="O160" s="11">
        <f>IF(OR(D160="",E160=""),"",IFERROR(INDEX('Evaluation table'!$B$4:$F$8,MATCH(TRIM(SUBSTITUTE(D160,"’","'")),'Evaluation table'!$A$4:$A$8,0),MATCH(TRIM(SUBSTITUTE(E160,"’","'")),'Evaluation table'!$B$3:$F$3,0)),"?"))</f>
        <v/>
      </c>
      <c r="P160" s="11">
        <f>IF(OR(F160="",G160=""),"",IFERROR(INDEX('Evaluation table'!$B$4:$F$8,MATCH(TRIM(SUBSTITUTE(F160,"’","'")),'Evaluation table'!$A$4:$A$8,0),MATCH(TRIM(SUBSTITUTE(G160,"’","'")),'Evaluation table'!$B$3:$F$3,0)),"?"))</f>
        <v/>
      </c>
      <c r="Q160" s="11">
        <f>IF(OR(H160="",I160=""),"",IFERROR(INDEX('Evaluation table'!$B$4:$F$8,MATCH(TRIM(SUBSTITUTE(H160,"’","'")),'Evaluation table'!$A$4:$A$8,0),MATCH(TRIM(SUBSTITUTE(I160,"’","'")),'Evaluation table'!$B$3:$F$3,0)),"?"))</f>
        <v/>
      </c>
      <c r="R160" s="11">
        <f>IF(OR(J160="",K160=""),"",IFERROR(INDEX('Evaluation table'!$B$4:$F$8,MATCH(TRIM(SUBSTITUTE(J160,"’","'")),'Evaluation table'!$A$4:$A$8,0),MATCH(TRIM(SUBSTITUTE(K160,"’","'")),'Evaluation table'!$B$3:$F$3,0)),"?"))</f>
        <v/>
      </c>
      <c r="S160" s="11">
        <f>IF(OR(L160="",M160=""),"",IFERROR(INDEX('Evaluation table'!$B$4:$F$8,MATCH(TRIM(SUBSTITUTE(L160,"’","'")),'Evaluation table'!$A$4:$A$8,0),MATCH(TRIM(SUBSTITUTE(M160,"’","'")),'Evaluation table'!$B$3:$F$3,0)),"?"))</f>
        <v/>
      </c>
    </row>
    <row r="161">
      <c r="A161" s="2" t="n">
        <v>143</v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1">
        <f>IF(OR(B161="",C161=""),"",IFERROR(INDEX('Evaluation table'!$B$4:$F$8,MATCH(TRIM(SUBSTITUTE(B161,"’","'")),'Evaluation table'!$A$4:$A$8,0),MATCH(TRIM(SUBSTITUTE(C161,"’","'")),'Evaluation table'!$B$3:$F$3,0)),"?"))</f>
        <v/>
      </c>
      <c r="O161" s="11">
        <f>IF(OR(D161="",E161=""),"",IFERROR(INDEX('Evaluation table'!$B$4:$F$8,MATCH(TRIM(SUBSTITUTE(D161,"’","'")),'Evaluation table'!$A$4:$A$8,0),MATCH(TRIM(SUBSTITUTE(E161,"’","'")),'Evaluation table'!$B$3:$F$3,0)),"?"))</f>
        <v/>
      </c>
      <c r="P161" s="11">
        <f>IF(OR(F161="",G161=""),"",IFERROR(INDEX('Evaluation table'!$B$4:$F$8,MATCH(TRIM(SUBSTITUTE(F161,"’","'")),'Evaluation table'!$A$4:$A$8,0),MATCH(TRIM(SUBSTITUTE(G161,"’","'")),'Evaluation table'!$B$3:$F$3,0)),"?"))</f>
        <v/>
      </c>
      <c r="Q161" s="11">
        <f>IF(OR(H161="",I161=""),"",IFERROR(INDEX('Evaluation table'!$B$4:$F$8,MATCH(TRIM(SUBSTITUTE(H161,"’","'")),'Evaluation table'!$A$4:$A$8,0),MATCH(TRIM(SUBSTITUTE(I161,"’","'")),'Evaluation table'!$B$3:$F$3,0)),"?"))</f>
        <v/>
      </c>
      <c r="R161" s="11">
        <f>IF(OR(J161="",K161=""),"",IFERROR(INDEX('Evaluation table'!$B$4:$F$8,MATCH(TRIM(SUBSTITUTE(J161,"’","'")),'Evaluation table'!$A$4:$A$8,0),MATCH(TRIM(SUBSTITUTE(K161,"’","'")),'Evaluation table'!$B$3:$F$3,0)),"?"))</f>
        <v/>
      </c>
      <c r="S161" s="11">
        <f>IF(OR(L161="",M161=""),"",IFERROR(INDEX('Evaluation table'!$B$4:$F$8,MATCH(TRIM(SUBSTITUTE(L161,"’","'")),'Evaluation table'!$A$4:$A$8,0),MATCH(TRIM(SUBSTITUTE(M161,"’","'")),'Evaluation table'!$B$3:$F$3,0)),"?"))</f>
        <v/>
      </c>
    </row>
    <row r="162">
      <c r="A162" s="2" t="n">
        <v>144</v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1">
        <f>IF(OR(B162="",C162=""),"",IFERROR(INDEX('Evaluation table'!$B$4:$F$8,MATCH(TRIM(SUBSTITUTE(B162,"’","'")),'Evaluation table'!$A$4:$A$8,0),MATCH(TRIM(SUBSTITUTE(C162,"’","'")),'Evaluation table'!$B$3:$F$3,0)),"?"))</f>
        <v/>
      </c>
      <c r="O162" s="11">
        <f>IF(OR(D162="",E162=""),"",IFERROR(INDEX('Evaluation table'!$B$4:$F$8,MATCH(TRIM(SUBSTITUTE(D162,"’","'")),'Evaluation table'!$A$4:$A$8,0),MATCH(TRIM(SUBSTITUTE(E162,"’","'")),'Evaluation table'!$B$3:$F$3,0)),"?"))</f>
        <v/>
      </c>
      <c r="P162" s="11">
        <f>IF(OR(F162="",G162=""),"",IFERROR(INDEX('Evaluation table'!$B$4:$F$8,MATCH(TRIM(SUBSTITUTE(F162,"’","'")),'Evaluation table'!$A$4:$A$8,0),MATCH(TRIM(SUBSTITUTE(G162,"’","'")),'Evaluation table'!$B$3:$F$3,0)),"?"))</f>
        <v/>
      </c>
      <c r="Q162" s="11">
        <f>IF(OR(H162="",I162=""),"",IFERROR(INDEX('Evaluation table'!$B$4:$F$8,MATCH(TRIM(SUBSTITUTE(H162,"’","'")),'Evaluation table'!$A$4:$A$8,0),MATCH(TRIM(SUBSTITUTE(I162,"’","'")),'Evaluation table'!$B$3:$F$3,0)),"?"))</f>
        <v/>
      </c>
      <c r="R162" s="11">
        <f>IF(OR(J162="",K162=""),"",IFERROR(INDEX('Evaluation table'!$B$4:$F$8,MATCH(TRIM(SUBSTITUTE(J162,"’","'")),'Evaluation table'!$A$4:$A$8,0),MATCH(TRIM(SUBSTITUTE(K162,"’","'")),'Evaluation table'!$B$3:$F$3,0)),"?"))</f>
        <v/>
      </c>
      <c r="S162" s="11">
        <f>IF(OR(L162="",M162=""),"",IFERROR(INDEX('Evaluation table'!$B$4:$F$8,MATCH(TRIM(SUBSTITUTE(L162,"’","'")),'Evaluation table'!$A$4:$A$8,0),MATCH(TRIM(SUBSTITUTE(M162,"’","'")),'Evaluation table'!$B$3:$F$3,0)),"?"))</f>
        <v/>
      </c>
    </row>
    <row r="163">
      <c r="A163" s="2" t="n">
        <v>145</v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1">
        <f>IF(OR(B163="",C163=""),"",IFERROR(INDEX('Evaluation table'!$B$4:$F$8,MATCH(TRIM(SUBSTITUTE(B163,"’","'")),'Evaluation table'!$A$4:$A$8,0),MATCH(TRIM(SUBSTITUTE(C163,"’","'")),'Evaluation table'!$B$3:$F$3,0)),"?"))</f>
        <v/>
      </c>
      <c r="O163" s="11">
        <f>IF(OR(D163="",E163=""),"",IFERROR(INDEX('Evaluation table'!$B$4:$F$8,MATCH(TRIM(SUBSTITUTE(D163,"’","'")),'Evaluation table'!$A$4:$A$8,0),MATCH(TRIM(SUBSTITUTE(E163,"’","'")),'Evaluation table'!$B$3:$F$3,0)),"?"))</f>
        <v/>
      </c>
      <c r="P163" s="11">
        <f>IF(OR(F163="",G163=""),"",IFERROR(INDEX('Evaluation table'!$B$4:$F$8,MATCH(TRIM(SUBSTITUTE(F163,"’","'")),'Evaluation table'!$A$4:$A$8,0),MATCH(TRIM(SUBSTITUTE(G163,"’","'")),'Evaluation table'!$B$3:$F$3,0)),"?"))</f>
        <v/>
      </c>
      <c r="Q163" s="11">
        <f>IF(OR(H163="",I163=""),"",IFERROR(INDEX('Evaluation table'!$B$4:$F$8,MATCH(TRIM(SUBSTITUTE(H163,"’","'")),'Evaluation table'!$A$4:$A$8,0),MATCH(TRIM(SUBSTITUTE(I163,"’","'")),'Evaluation table'!$B$3:$F$3,0)),"?"))</f>
        <v/>
      </c>
      <c r="R163" s="11">
        <f>IF(OR(J163="",K163=""),"",IFERROR(INDEX('Evaluation table'!$B$4:$F$8,MATCH(TRIM(SUBSTITUTE(J163,"’","'")),'Evaluation table'!$A$4:$A$8,0),MATCH(TRIM(SUBSTITUTE(K163,"’","'")),'Evaluation table'!$B$3:$F$3,0)),"?"))</f>
        <v/>
      </c>
      <c r="S163" s="11">
        <f>IF(OR(L163="",M163=""),"",IFERROR(INDEX('Evaluation table'!$B$4:$F$8,MATCH(TRIM(SUBSTITUTE(L163,"’","'")),'Evaluation table'!$A$4:$A$8,0),MATCH(TRIM(SUBSTITUTE(M163,"’","'")),'Evaluation table'!$B$3:$F$3,0)),"?"))</f>
        <v/>
      </c>
    </row>
    <row r="164">
      <c r="A164" s="2" t="n">
        <v>146</v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1">
        <f>IF(OR(B164="",C164=""),"",IFERROR(INDEX('Evaluation table'!$B$4:$F$8,MATCH(TRIM(SUBSTITUTE(B164,"’","'")),'Evaluation table'!$A$4:$A$8,0),MATCH(TRIM(SUBSTITUTE(C164,"’","'")),'Evaluation table'!$B$3:$F$3,0)),"?"))</f>
        <v/>
      </c>
      <c r="O164" s="11">
        <f>IF(OR(D164="",E164=""),"",IFERROR(INDEX('Evaluation table'!$B$4:$F$8,MATCH(TRIM(SUBSTITUTE(D164,"’","'")),'Evaluation table'!$A$4:$A$8,0),MATCH(TRIM(SUBSTITUTE(E164,"’","'")),'Evaluation table'!$B$3:$F$3,0)),"?"))</f>
        <v/>
      </c>
      <c r="P164" s="11">
        <f>IF(OR(F164="",G164=""),"",IFERROR(INDEX('Evaluation table'!$B$4:$F$8,MATCH(TRIM(SUBSTITUTE(F164,"’","'")),'Evaluation table'!$A$4:$A$8,0),MATCH(TRIM(SUBSTITUTE(G164,"’","'")),'Evaluation table'!$B$3:$F$3,0)),"?"))</f>
        <v/>
      </c>
      <c r="Q164" s="11">
        <f>IF(OR(H164="",I164=""),"",IFERROR(INDEX('Evaluation table'!$B$4:$F$8,MATCH(TRIM(SUBSTITUTE(H164,"’","'")),'Evaluation table'!$A$4:$A$8,0),MATCH(TRIM(SUBSTITUTE(I164,"’","'")),'Evaluation table'!$B$3:$F$3,0)),"?"))</f>
        <v/>
      </c>
      <c r="R164" s="11">
        <f>IF(OR(J164="",K164=""),"",IFERROR(INDEX('Evaluation table'!$B$4:$F$8,MATCH(TRIM(SUBSTITUTE(J164,"’","'")),'Evaluation table'!$A$4:$A$8,0),MATCH(TRIM(SUBSTITUTE(K164,"’","'")),'Evaluation table'!$B$3:$F$3,0)),"?"))</f>
        <v/>
      </c>
      <c r="S164" s="11">
        <f>IF(OR(L164="",M164=""),"",IFERROR(INDEX('Evaluation table'!$B$4:$F$8,MATCH(TRIM(SUBSTITUTE(L164,"’","'")),'Evaluation table'!$A$4:$A$8,0),MATCH(TRIM(SUBSTITUTE(M164,"’","'")),'Evaluation table'!$B$3:$F$3,0)),"?"))</f>
        <v/>
      </c>
    </row>
    <row r="165">
      <c r="A165" s="2" t="n">
        <v>147</v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1">
        <f>IF(OR(B165="",C165=""),"",IFERROR(INDEX('Evaluation table'!$B$4:$F$8,MATCH(TRIM(SUBSTITUTE(B165,"’","'")),'Evaluation table'!$A$4:$A$8,0),MATCH(TRIM(SUBSTITUTE(C165,"’","'")),'Evaluation table'!$B$3:$F$3,0)),"?"))</f>
        <v/>
      </c>
      <c r="O165" s="11">
        <f>IF(OR(D165="",E165=""),"",IFERROR(INDEX('Evaluation table'!$B$4:$F$8,MATCH(TRIM(SUBSTITUTE(D165,"’","'")),'Evaluation table'!$A$4:$A$8,0),MATCH(TRIM(SUBSTITUTE(E165,"’","'")),'Evaluation table'!$B$3:$F$3,0)),"?"))</f>
        <v/>
      </c>
      <c r="P165" s="11">
        <f>IF(OR(F165="",G165=""),"",IFERROR(INDEX('Evaluation table'!$B$4:$F$8,MATCH(TRIM(SUBSTITUTE(F165,"’","'")),'Evaluation table'!$A$4:$A$8,0),MATCH(TRIM(SUBSTITUTE(G165,"’","'")),'Evaluation table'!$B$3:$F$3,0)),"?"))</f>
        <v/>
      </c>
      <c r="Q165" s="11">
        <f>IF(OR(H165="",I165=""),"",IFERROR(INDEX('Evaluation table'!$B$4:$F$8,MATCH(TRIM(SUBSTITUTE(H165,"’","'")),'Evaluation table'!$A$4:$A$8,0),MATCH(TRIM(SUBSTITUTE(I165,"’","'")),'Evaluation table'!$B$3:$F$3,0)),"?"))</f>
        <v/>
      </c>
      <c r="R165" s="11">
        <f>IF(OR(J165="",K165=""),"",IFERROR(INDEX('Evaluation table'!$B$4:$F$8,MATCH(TRIM(SUBSTITUTE(J165,"’","'")),'Evaluation table'!$A$4:$A$8,0),MATCH(TRIM(SUBSTITUTE(K165,"’","'")),'Evaluation table'!$B$3:$F$3,0)),"?"))</f>
        <v/>
      </c>
      <c r="S165" s="11">
        <f>IF(OR(L165="",M165=""),"",IFERROR(INDEX('Evaluation table'!$B$4:$F$8,MATCH(TRIM(SUBSTITUTE(L165,"’","'")),'Evaluation table'!$A$4:$A$8,0),MATCH(TRIM(SUBSTITUTE(M165,"’","'")),'Evaluation table'!$B$3:$F$3,0)),"?"))</f>
        <v/>
      </c>
    </row>
    <row r="166">
      <c r="A166" s="2" t="n">
        <v>148</v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1">
        <f>IF(OR(B166="",C166=""),"",IFERROR(INDEX('Evaluation table'!$B$4:$F$8,MATCH(TRIM(SUBSTITUTE(B166,"’","'")),'Evaluation table'!$A$4:$A$8,0),MATCH(TRIM(SUBSTITUTE(C166,"’","'")),'Evaluation table'!$B$3:$F$3,0)),"?"))</f>
        <v/>
      </c>
      <c r="O166" s="11">
        <f>IF(OR(D166="",E166=""),"",IFERROR(INDEX('Evaluation table'!$B$4:$F$8,MATCH(TRIM(SUBSTITUTE(D166,"’","'")),'Evaluation table'!$A$4:$A$8,0),MATCH(TRIM(SUBSTITUTE(E166,"’","'")),'Evaluation table'!$B$3:$F$3,0)),"?"))</f>
        <v/>
      </c>
      <c r="P166" s="11">
        <f>IF(OR(F166="",G166=""),"",IFERROR(INDEX('Evaluation table'!$B$4:$F$8,MATCH(TRIM(SUBSTITUTE(F166,"’","'")),'Evaluation table'!$A$4:$A$8,0),MATCH(TRIM(SUBSTITUTE(G166,"’","'")),'Evaluation table'!$B$3:$F$3,0)),"?"))</f>
        <v/>
      </c>
      <c r="Q166" s="11">
        <f>IF(OR(H166="",I166=""),"",IFERROR(INDEX('Evaluation table'!$B$4:$F$8,MATCH(TRIM(SUBSTITUTE(H166,"’","'")),'Evaluation table'!$A$4:$A$8,0),MATCH(TRIM(SUBSTITUTE(I166,"’","'")),'Evaluation table'!$B$3:$F$3,0)),"?"))</f>
        <v/>
      </c>
      <c r="R166" s="11">
        <f>IF(OR(J166="",K166=""),"",IFERROR(INDEX('Evaluation table'!$B$4:$F$8,MATCH(TRIM(SUBSTITUTE(J166,"’","'")),'Evaluation table'!$A$4:$A$8,0),MATCH(TRIM(SUBSTITUTE(K166,"’","'")),'Evaluation table'!$B$3:$F$3,0)),"?"))</f>
        <v/>
      </c>
      <c r="S166" s="11">
        <f>IF(OR(L166="",M166=""),"",IFERROR(INDEX('Evaluation table'!$B$4:$F$8,MATCH(TRIM(SUBSTITUTE(L166,"’","'")),'Evaluation table'!$A$4:$A$8,0),MATCH(TRIM(SUBSTITUTE(M166,"’","'")),'Evaluation table'!$B$3:$F$3,0)),"?"))</f>
        <v/>
      </c>
    </row>
    <row r="167">
      <c r="A167" s="2" t="n">
        <v>149</v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1">
        <f>IF(OR(B167="",C167=""),"",IFERROR(INDEX('Evaluation table'!$B$4:$F$8,MATCH(TRIM(SUBSTITUTE(B167,"’","'")),'Evaluation table'!$A$4:$A$8,0),MATCH(TRIM(SUBSTITUTE(C167,"’","'")),'Evaluation table'!$B$3:$F$3,0)),"?"))</f>
        <v/>
      </c>
      <c r="O167" s="11">
        <f>IF(OR(D167="",E167=""),"",IFERROR(INDEX('Evaluation table'!$B$4:$F$8,MATCH(TRIM(SUBSTITUTE(D167,"’","'")),'Evaluation table'!$A$4:$A$8,0),MATCH(TRIM(SUBSTITUTE(E167,"’","'")),'Evaluation table'!$B$3:$F$3,0)),"?"))</f>
        <v/>
      </c>
      <c r="P167" s="11">
        <f>IF(OR(F167="",G167=""),"",IFERROR(INDEX('Evaluation table'!$B$4:$F$8,MATCH(TRIM(SUBSTITUTE(F167,"’","'")),'Evaluation table'!$A$4:$A$8,0),MATCH(TRIM(SUBSTITUTE(G167,"’","'")),'Evaluation table'!$B$3:$F$3,0)),"?"))</f>
        <v/>
      </c>
      <c r="Q167" s="11">
        <f>IF(OR(H167="",I167=""),"",IFERROR(INDEX('Evaluation table'!$B$4:$F$8,MATCH(TRIM(SUBSTITUTE(H167,"’","'")),'Evaluation table'!$A$4:$A$8,0),MATCH(TRIM(SUBSTITUTE(I167,"’","'")),'Evaluation table'!$B$3:$F$3,0)),"?"))</f>
        <v/>
      </c>
      <c r="R167" s="11">
        <f>IF(OR(J167="",K167=""),"",IFERROR(INDEX('Evaluation table'!$B$4:$F$8,MATCH(TRIM(SUBSTITUTE(J167,"’","'")),'Evaluation table'!$A$4:$A$8,0),MATCH(TRIM(SUBSTITUTE(K167,"’","'")),'Evaluation table'!$B$3:$F$3,0)),"?"))</f>
        <v/>
      </c>
      <c r="S167" s="11">
        <f>IF(OR(L167="",M167=""),"",IFERROR(INDEX('Evaluation table'!$B$4:$F$8,MATCH(TRIM(SUBSTITUTE(L167,"’","'")),'Evaluation table'!$A$4:$A$8,0),MATCH(TRIM(SUBSTITUTE(M167,"’","'")),'Evaluation table'!$B$3:$F$3,0)),"?"))</f>
        <v/>
      </c>
    </row>
    <row r="168">
      <c r="A168" s="2" t="n">
        <v>150</v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1">
        <f>IF(OR(B168="",C168=""),"",IFERROR(INDEX('Evaluation table'!$B$4:$F$8,MATCH(TRIM(SUBSTITUTE(B168,"’","'")),'Evaluation table'!$A$4:$A$8,0),MATCH(TRIM(SUBSTITUTE(C168,"’","'")),'Evaluation table'!$B$3:$F$3,0)),"?"))</f>
        <v/>
      </c>
      <c r="O168" s="11">
        <f>IF(OR(D168="",E168=""),"",IFERROR(INDEX('Evaluation table'!$B$4:$F$8,MATCH(TRIM(SUBSTITUTE(D168,"’","'")),'Evaluation table'!$A$4:$A$8,0),MATCH(TRIM(SUBSTITUTE(E168,"’","'")),'Evaluation table'!$B$3:$F$3,0)),"?"))</f>
        <v/>
      </c>
      <c r="P168" s="11">
        <f>IF(OR(F168="",G168=""),"",IFERROR(INDEX('Evaluation table'!$B$4:$F$8,MATCH(TRIM(SUBSTITUTE(F168,"’","'")),'Evaluation table'!$A$4:$A$8,0),MATCH(TRIM(SUBSTITUTE(G168,"’","'")),'Evaluation table'!$B$3:$F$3,0)),"?"))</f>
        <v/>
      </c>
      <c r="Q168" s="11">
        <f>IF(OR(H168="",I168=""),"",IFERROR(INDEX('Evaluation table'!$B$4:$F$8,MATCH(TRIM(SUBSTITUTE(H168,"’","'")),'Evaluation table'!$A$4:$A$8,0),MATCH(TRIM(SUBSTITUTE(I168,"’","'")),'Evaluation table'!$B$3:$F$3,0)),"?"))</f>
        <v/>
      </c>
      <c r="R168" s="11">
        <f>IF(OR(J168="",K168=""),"",IFERROR(INDEX('Evaluation table'!$B$4:$F$8,MATCH(TRIM(SUBSTITUTE(J168,"’","'")),'Evaluation table'!$A$4:$A$8,0),MATCH(TRIM(SUBSTITUTE(K168,"’","'")),'Evaluation table'!$B$3:$F$3,0)),"?"))</f>
        <v/>
      </c>
      <c r="S168" s="11">
        <f>IF(OR(L168="",M168=""),"",IFERROR(INDEX('Evaluation table'!$B$4:$F$8,MATCH(TRIM(SUBSTITUTE(L168,"’","'")),'Evaluation table'!$A$4:$A$8,0),MATCH(TRIM(SUBSTITUTE(M168,"’","'")),'Evaluation table'!$B$3:$F$3,0)),"?"))</f>
        <v/>
      </c>
    </row>
  </sheetData>
  <dataValidations count="1">
    <dataValidation sqref="B19:M168" showDropDown="0" showInputMessage="0" showErrorMessage="0" allowBlank="1" type="list">
      <formula1>"I like it,I expect it,I'm neutral,I can tolerate it,I dislike it"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Kano evaluation table</t>
        </is>
      </c>
    </row>
    <row r="2">
      <c r="A2" s="2" t="inlineStr">
        <is>
          <t>Row = answer WITH the feature (functional). Column = answer WITHOUT it (dysfunctional). Q pairs contradict themselves and are dropped.</t>
        </is>
      </c>
    </row>
    <row r="3">
      <c r="A3" s="8" t="inlineStr">
        <is>
          <t>With ↓ / Without →</t>
        </is>
      </c>
      <c r="B3" s="3" t="inlineStr">
        <is>
          <t>I like it</t>
        </is>
      </c>
      <c r="C3" s="3" t="inlineStr">
        <is>
          <t>I expect it</t>
        </is>
      </c>
      <c r="D3" s="3" t="inlineStr">
        <is>
          <t>I'm neutral</t>
        </is>
      </c>
      <c r="E3" s="3" t="inlineStr">
        <is>
          <t>I can tolerate it</t>
        </is>
      </c>
      <c r="F3" s="3" t="inlineStr">
        <is>
          <t>I dislike it</t>
        </is>
      </c>
    </row>
    <row r="4">
      <c r="A4" s="8" t="inlineStr">
        <is>
          <t>I like it</t>
        </is>
      </c>
      <c r="B4" s="12" t="inlineStr">
        <is>
          <t>Q</t>
        </is>
      </c>
      <c r="C4" s="12" t="inlineStr">
        <is>
          <t>A</t>
        </is>
      </c>
      <c r="D4" s="12" t="inlineStr">
        <is>
          <t>A</t>
        </is>
      </c>
      <c r="E4" s="12" t="inlineStr">
        <is>
          <t>A</t>
        </is>
      </c>
      <c r="F4" s="12" t="inlineStr">
        <is>
          <t>O</t>
        </is>
      </c>
    </row>
    <row r="5">
      <c r="A5" s="8" t="inlineStr">
        <is>
          <t>I expect it</t>
        </is>
      </c>
      <c r="B5" s="12" t="inlineStr">
        <is>
          <t>R</t>
        </is>
      </c>
      <c r="C5" s="12" t="inlineStr">
        <is>
          <t>I</t>
        </is>
      </c>
      <c r="D5" s="12" t="inlineStr">
        <is>
          <t>I</t>
        </is>
      </c>
      <c r="E5" s="12" t="inlineStr">
        <is>
          <t>I</t>
        </is>
      </c>
      <c r="F5" s="12" t="inlineStr">
        <is>
          <t>M</t>
        </is>
      </c>
    </row>
    <row r="6">
      <c r="A6" s="8" t="inlineStr">
        <is>
          <t>I'm neutral</t>
        </is>
      </c>
      <c r="B6" s="12" t="inlineStr">
        <is>
          <t>R</t>
        </is>
      </c>
      <c r="C6" s="12" t="inlineStr">
        <is>
          <t>I</t>
        </is>
      </c>
      <c r="D6" s="12" t="inlineStr">
        <is>
          <t>I</t>
        </is>
      </c>
      <c r="E6" s="12" t="inlineStr">
        <is>
          <t>I</t>
        </is>
      </c>
      <c r="F6" s="12" t="inlineStr">
        <is>
          <t>M</t>
        </is>
      </c>
    </row>
    <row r="7">
      <c r="A7" s="8" t="inlineStr">
        <is>
          <t>I can tolerate it</t>
        </is>
      </c>
      <c r="B7" s="12" t="inlineStr">
        <is>
          <t>R</t>
        </is>
      </c>
      <c r="C7" s="12" t="inlineStr">
        <is>
          <t>I</t>
        </is>
      </c>
      <c r="D7" s="12" t="inlineStr">
        <is>
          <t>I</t>
        </is>
      </c>
      <c r="E7" s="12" t="inlineStr">
        <is>
          <t>I</t>
        </is>
      </c>
      <c r="F7" s="12" t="inlineStr">
        <is>
          <t>M</t>
        </is>
      </c>
    </row>
    <row r="8">
      <c r="A8" s="8" t="inlineStr">
        <is>
          <t>I dislike it</t>
        </is>
      </c>
      <c r="B8" s="12" t="inlineStr">
        <is>
          <t>R</t>
        </is>
      </c>
      <c r="C8" s="12" t="inlineStr">
        <is>
          <t>R</t>
        </is>
      </c>
      <c r="D8" s="12" t="inlineStr">
        <is>
          <t>R</t>
        </is>
      </c>
      <c r="E8" s="12" t="inlineStr">
        <is>
          <t>R</t>
        </is>
      </c>
      <c r="F8" s="12" t="inlineStr">
        <is>
          <t>Q</t>
        </is>
      </c>
    </row>
    <row r="10">
      <c r="A10" s="13" t="inlineStr">
        <is>
          <t>Key</t>
        </is>
      </c>
    </row>
    <row r="11">
      <c r="A11" s="13" t="inlineStr">
        <is>
          <t>M</t>
        </is>
      </c>
      <c r="B11" s="14" t="inlineStr">
        <is>
          <t>Must-be</t>
        </is>
      </c>
    </row>
    <row r="12">
      <c r="A12" s="13" t="inlineStr">
        <is>
          <t>O</t>
        </is>
      </c>
      <c r="B12" s="14" t="inlineStr">
        <is>
          <t>One-dimensional</t>
        </is>
      </c>
    </row>
    <row r="13">
      <c r="A13" s="13" t="inlineStr">
        <is>
          <t>A</t>
        </is>
      </c>
      <c r="B13" s="14" t="inlineStr">
        <is>
          <t>Attractive</t>
        </is>
      </c>
    </row>
    <row r="14">
      <c r="A14" s="13" t="inlineStr">
        <is>
          <t>I</t>
        </is>
      </c>
      <c r="B14" s="14" t="inlineStr">
        <is>
          <t>Indifferent</t>
        </is>
      </c>
    </row>
    <row r="15">
      <c r="A15" s="13" t="inlineStr">
        <is>
          <t>R</t>
        </is>
      </c>
      <c r="B15" s="14" t="inlineStr">
        <is>
          <t>Reverse</t>
        </is>
      </c>
    </row>
    <row r="16">
      <c r="A16" s="13" t="inlineStr">
        <is>
          <t>Q</t>
        </is>
      </c>
      <c r="B16" s="14" t="inlineStr">
        <is>
          <t>Questionable</t>
        </is>
      </c>
    </row>
    <row r="18">
      <c r="A18" s="2" t="inlineStr">
        <is>
          <t>Source: Pomeroy &amp; Smith, Microsoft, "Kano Best Practices". Researchers use slightly different tables; this one is common, not official.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1" t="inlineStr">
        <is>
          <t>Kano form questions · Tallyrow</t>
        </is>
      </c>
    </row>
    <row r="2">
      <c r="A2" s="2" t="inlineStr">
        <is>
          <t>One wording pattern for every feature. Both questions use the same five answers. Describe what it lets people do, not its name.</t>
        </is>
      </c>
    </row>
    <row r="4">
      <c r="A4" s="8" t="inlineStr">
        <is>
          <t>Feature</t>
        </is>
      </c>
      <c r="B4" s="8" t="inlineStr">
        <is>
          <t>With it (functional)</t>
        </is>
      </c>
      <c r="C4" s="8" t="inlineStr">
        <is>
          <t>Without it (dysfunctional)</t>
        </is>
      </c>
    </row>
    <row r="5">
      <c r="A5" s="15" t="inlineStr">
        <is>
          <t>Payment link</t>
        </is>
      </c>
      <c r="B5" s="15" t="inlineStr">
        <is>
          <t>How do you feel if your clients can pay each invoice from a Pay now link inside it?</t>
        </is>
      </c>
      <c r="C5" s="15" t="inlineStr">
        <is>
          <t>How do you feel if your clients have to pay each invoice some other way, with no link inside it?</t>
        </is>
      </c>
    </row>
    <row r="6">
      <c r="A6" s="15" t="inlineStr">
        <is>
          <t>Recurring invoices</t>
        </is>
      </c>
      <c r="B6" s="15" t="inlineStr">
        <is>
          <t>How do you feel if you set up a retainer once and Tallyrow sends that invoice for you every month?</t>
        </is>
      </c>
      <c r="C6" s="15" t="inlineStr">
        <is>
          <t>How do you feel if you have to create and send each retainer invoice yourself every month?</t>
        </is>
      </c>
    </row>
    <row r="7">
      <c r="A7" s="15" t="inlineStr">
        <is>
          <t>Smart reminders</t>
        </is>
      </c>
      <c r="B7" s="15" t="inlineStr">
        <is>
          <t>How do you feel if Tallyrow sends each reminder when that client usually pays?</t>
        </is>
      </c>
      <c r="C7" s="15" t="inlineStr">
        <is>
          <t>How do you feel if reminders go out on the due date, the same for every client?</t>
        </is>
      </c>
    </row>
    <row r="8">
      <c r="A8" s="15" t="inlineStr">
        <is>
          <t>Client portal</t>
        </is>
      </c>
      <c r="B8" s="15" t="inlineStr">
        <is>
          <t>How do you feel if your clients can see and pay all their invoices from you in one place?</t>
        </is>
      </c>
      <c r="C8" s="15" t="inlineStr">
        <is>
          <t>How do you feel if your clients can see each invoice only in its own email?</t>
        </is>
      </c>
    </row>
    <row r="9">
      <c r="A9" s="15" t="inlineStr">
        <is>
          <t>Receipt capture</t>
        </is>
      </c>
      <c r="B9" s="15" t="inlineStr">
        <is>
          <t>How do you feel if you can photograph a receipt and Tallyrow logs the expense for you?</t>
        </is>
      </c>
      <c r="C9" s="15" t="inlineStr">
        <is>
          <t>How do you feel if you have to type in each expense yourself?</t>
        </is>
      </c>
    </row>
    <row r="10">
      <c r="A10" s="15" t="inlineStr">
        <is>
          <t>Late-fee automation</t>
        </is>
      </c>
      <c r="B10" s="15" t="inlineStr">
        <is>
          <t>How do you feel if Tallyrow adds a late fee automatically when a client pays late?</t>
        </is>
      </c>
      <c r="C10" s="15" t="inlineStr">
        <is>
          <t>How do you feel if a late fee is added only when you add it yourself?</t>
        </is>
      </c>
    </row>
    <row r="12">
      <c r="A12" s="13" t="inlineStr">
        <is>
          <t>Answers (same for both questions)</t>
        </is>
      </c>
    </row>
    <row r="13">
      <c r="A13" s="14" t="inlineStr">
        <is>
          <t>I like it</t>
        </is>
      </c>
    </row>
    <row r="14">
      <c r="A14" s="14" t="inlineStr">
        <is>
          <t>I expect it</t>
        </is>
      </c>
    </row>
    <row r="15">
      <c r="A15" s="14" t="inlineStr">
        <is>
          <t>I'm neutral</t>
        </is>
      </c>
    </row>
    <row r="16">
      <c r="A16" s="14" t="inlineStr">
        <is>
          <t>I can tolerate it</t>
        </is>
      </c>
    </row>
    <row r="17">
      <c r="A17" s="14" t="inlineStr">
        <is>
          <t>I dislike it</t>
        </is>
      </c>
    </row>
    <row r="19">
      <c r="A19" s="13" t="inlineStr">
        <is>
          <t>Before you send it</t>
        </is>
      </c>
    </row>
    <row r="20">
      <c r="A20" s="14" t="inlineStr">
        <is>
          <t>Same wording pattern for every feature.</t>
        </is>
      </c>
    </row>
    <row r="21">
      <c r="A21" s="14" t="inlineStr">
        <is>
          <t>Pilot with a few customers thinking aloud.</t>
        </is>
      </c>
    </row>
    <row r="22">
      <c r="A22" s="14" t="inlineStr">
        <is>
          <t>Many questionable answers? Rewrite the question.</t>
        </is>
      </c>
    </row>
    <row r="23">
      <c r="A23" s="14" t="inlineStr">
        <is>
          <t>Optional: one open text box. An AI assistant can group comments into themes; check them against raw comments.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1" t="inlineStr">
        <is>
          <t>Kano form questions · your features</t>
        </is>
      </c>
    </row>
    <row r="2">
      <c r="A2" s="2" t="inlineStr">
        <is>
          <t>One wording pattern for every feature. Both questions use the same five answers. Describe what it lets people do, not its name.</t>
        </is>
      </c>
    </row>
    <row r="4">
      <c r="A4" s="8" t="inlineStr">
        <is>
          <t>Feature</t>
        </is>
      </c>
      <c r="B4" s="8" t="inlineStr">
        <is>
          <t>With it (functional)</t>
        </is>
      </c>
      <c r="C4" s="8" t="inlineStr">
        <is>
          <t>Without it (dysfunctional)</t>
        </is>
      </c>
    </row>
    <row r="5">
      <c r="A5" s="15" t="inlineStr">
        <is>
          <t>Feature 1</t>
        </is>
      </c>
      <c r="B5" s="16" t="inlineStr">
        <is>
          <t>How do you feel if …?</t>
        </is>
      </c>
      <c r="C5" s="16" t="inlineStr">
        <is>
          <t>How do you feel if … (it's not there)?</t>
        </is>
      </c>
    </row>
    <row r="6">
      <c r="A6" s="15" t="inlineStr">
        <is>
          <t>Feature 2</t>
        </is>
      </c>
      <c r="B6" s="16" t="inlineStr">
        <is>
          <t>How do you feel if …?</t>
        </is>
      </c>
      <c r="C6" s="16" t="inlineStr">
        <is>
          <t>How do you feel if … (it's not there)?</t>
        </is>
      </c>
    </row>
    <row r="7">
      <c r="A7" s="15" t="inlineStr">
        <is>
          <t>Feature 3</t>
        </is>
      </c>
      <c r="B7" s="16" t="inlineStr">
        <is>
          <t>How do you feel if …?</t>
        </is>
      </c>
      <c r="C7" s="16" t="inlineStr">
        <is>
          <t>How do you feel if … (it's not there)?</t>
        </is>
      </c>
    </row>
    <row r="8">
      <c r="A8" s="15" t="inlineStr">
        <is>
          <t>Feature 4</t>
        </is>
      </c>
      <c r="B8" s="16" t="inlineStr">
        <is>
          <t>How do you feel if …?</t>
        </is>
      </c>
      <c r="C8" s="16" t="inlineStr">
        <is>
          <t>How do you feel if … (it's not there)?</t>
        </is>
      </c>
    </row>
    <row r="9">
      <c r="A9" s="15" t="inlineStr">
        <is>
          <t>Feature 5</t>
        </is>
      </c>
      <c r="B9" s="16" t="inlineStr">
        <is>
          <t>How do you feel if …?</t>
        </is>
      </c>
      <c r="C9" s="16" t="inlineStr">
        <is>
          <t>How do you feel if … (it's not there)?</t>
        </is>
      </c>
    </row>
    <row r="10">
      <c r="A10" s="15" t="inlineStr">
        <is>
          <t>Feature 6</t>
        </is>
      </c>
      <c r="B10" s="16" t="inlineStr">
        <is>
          <t>How do you feel if …?</t>
        </is>
      </c>
      <c r="C10" s="16" t="inlineStr">
        <is>
          <t>How do you feel if … (it's not there)?</t>
        </is>
      </c>
    </row>
    <row r="12">
      <c r="A12" s="13" t="inlineStr">
        <is>
          <t>Answers (same for both questions)</t>
        </is>
      </c>
    </row>
    <row r="13">
      <c r="A13" s="14" t="inlineStr">
        <is>
          <t>I like it</t>
        </is>
      </c>
    </row>
    <row r="14">
      <c r="A14" s="14" t="inlineStr">
        <is>
          <t>I expect it</t>
        </is>
      </c>
    </row>
    <row r="15">
      <c r="A15" s="14" t="inlineStr">
        <is>
          <t>I'm neutral</t>
        </is>
      </c>
    </row>
    <row r="16">
      <c r="A16" s="14" t="inlineStr">
        <is>
          <t>I can tolerate it</t>
        </is>
      </c>
    </row>
    <row r="17">
      <c r="A17" s="14" t="inlineStr">
        <is>
          <t>I dislike it</t>
        </is>
      </c>
    </row>
    <row r="19">
      <c r="A19" s="13" t="inlineStr">
        <is>
          <t>Before you send it</t>
        </is>
      </c>
    </row>
    <row r="20">
      <c r="A20" s="14" t="inlineStr">
        <is>
          <t>Same wording pattern for every feature.</t>
        </is>
      </c>
    </row>
    <row r="21">
      <c r="A21" s="14" t="inlineStr">
        <is>
          <t>Pilot with a few customers thinking aloud.</t>
        </is>
      </c>
    </row>
    <row r="22">
      <c r="A22" s="14" t="inlineStr">
        <is>
          <t>Many questionable answers? Rewrite the question.</t>
        </is>
      </c>
    </row>
    <row r="23">
      <c r="A23" s="14" t="inlineStr">
        <is>
          <t>Optional: one open text box. An AI assistant can group comments into themes; check them against raw comments.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60" customHeight="1">
      <c r="A1" s="17" t="inlineStr">
        <is>
          <t>Timestamp</t>
        </is>
      </c>
      <c r="B1" s="17" t="inlineStr">
        <is>
          <t>How do you feel if your clients can pay each invoice from a Pay now link inside it?</t>
        </is>
      </c>
      <c r="C1" s="17" t="inlineStr">
        <is>
          <t>How do you feel if your clients have to pay each invoice some other way, with no link inside it?</t>
        </is>
      </c>
      <c r="D1" s="17" t="inlineStr">
        <is>
          <t>How do you feel if you set up a retainer once and Tallyrow sends that invoice for you every month?</t>
        </is>
      </c>
      <c r="E1" s="17" t="inlineStr">
        <is>
          <t>How do you feel if you have to create and send each retainer invoice yourself every month?</t>
        </is>
      </c>
      <c r="F1" s="17" t="inlineStr">
        <is>
          <t>How do you feel if Tallyrow sends each reminder when that client usually pays?</t>
        </is>
      </c>
      <c r="G1" s="17" t="inlineStr">
        <is>
          <t>How do you feel if reminders go out on the due date, the same for every client?</t>
        </is>
      </c>
      <c r="H1" s="17" t="inlineStr">
        <is>
          <t>How do you feel if your clients can see and pay all their invoices from you in one place?</t>
        </is>
      </c>
      <c r="I1" s="17" t="inlineStr">
        <is>
          <t>How do you feel if your clients can see each invoice only in its own email?</t>
        </is>
      </c>
      <c r="J1" s="17" t="inlineStr">
        <is>
          <t>How do you feel if you can photograph a receipt and Tallyrow logs the expense for you?</t>
        </is>
      </c>
      <c r="K1" s="17" t="inlineStr">
        <is>
          <t>How do you feel if you have to type in each expense yourself?</t>
        </is>
      </c>
      <c r="L1" s="17" t="inlineStr">
        <is>
          <t>How do you feel if Tallyrow adds a late fee automatically when a client pays late?</t>
        </is>
      </c>
      <c r="M1" s="17" t="inlineStr">
        <is>
          <t>How do you feel if a late fee is added only when you add it yourself?</t>
        </is>
      </c>
    </row>
    <row r="2">
      <c r="A2" s="18" t="n">
        <v>46279.40694444445</v>
      </c>
      <c r="B2" t="inlineStr">
        <is>
          <t>I'm neutral</t>
        </is>
      </c>
      <c r="C2" t="inlineStr">
        <is>
          <t>I dislike it</t>
        </is>
      </c>
      <c r="D2" t="inlineStr">
        <is>
          <t>I expect it</t>
        </is>
      </c>
      <c r="E2" t="inlineStr">
        <is>
          <t>I dislike it</t>
        </is>
      </c>
      <c r="F2" t="inlineStr">
        <is>
          <t>I like it</t>
        </is>
      </c>
      <c r="G2" t="inlineStr">
        <is>
          <t>I'm neutral</t>
        </is>
      </c>
      <c r="H2" t="inlineStr">
        <is>
          <t>I like it</t>
        </is>
      </c>
      <c r="I2" t="inlineStr">
        <is>
          <t>I dislike it</t>
        </is>
      </c>
      <c r="J2" t="inlineStr">
        <is>
          <t>I expect it</t>
        </is>
      </c>
      <c r="K2" t="inlineStr">
        <is>
          <t>I dislike it</t>
        </is>
      </c>
      <c r="L2" t="inlineStr">
        <is>
          <t>I dislike it</t>
        </is>
      </c>
      <c r="M2" t="inlineStr">
        <is>
          <t>I like it</t>
        </is>
      </c>
    </row>
    <row r="3">
      <c r="A3" s="18" t="n">
        <v>46279.42222222222</v>
      </c>
      <c r="B3" t="inlineStr">
        <is>
          <t>I like it</t>
        </is>
      </c>
      <c r="C3" t="inlineStr">
        <is>
          <t>I dislike it</t>
        </is>
      </c>
      <c r="D3" t="inlineStr">
        <is>
          <t>I like it</t>
        </is>
      </c>
      <c r="E3" t="inlineStr">
        <is>
          <t>I dislike it</t>
        </is>
      </c>
      <c r="F3" t="inlineStr">
        <is>
          <t>I like it</t>
        </is>
      </c>
      <c r="G3" t="inlineStr">
        <is>
          <t>I'm neutral</t>
        </is>
      </c>
      <c r="H3" t="inlineStr">
        <is>
          <t>I dislike it</t>
        </is>
      </c>
      <c r="I3" t="inlineStr">
        <is>
          <t>I'm neutral</t>
        </is>
      </c>
      <c r="J3" t="inlineStr">
        <is>
          <t>I expect it</t>
        </is>
      </c>
      <c r="K3" t="inlineStr">
        <is>
          <t>I'm neutral</t>
        </is>
      </c>
      <c r="L3" t="inlineStr">
        <is>
          <t>I dislike it</t>
        </is>
      </c>
      <c r="M3" t="inlineStr">
        <is>
          <t>I'm neutral</t>
        </is>
      </c>
    </row>
    <row r="4">
      <c r="A4" s="18" t="n">
        <v>46279.45902777778</v>
      </c>
      <c r="B4" t="inlineStr">
        <is>
          <t>I expect it</t>
        </is>
      </c>
      <c r="C4" t="inlineStr">
        <is>
          <t>I'm neutral</t>
        </is>
      </c>
      <c r="D4" t="inlineStr">
        <is>
          <t>I like it</t>
        </is>
      </c>
      <c r="E4" t="inlineStr">
        <is>
          <t>I dislike it</t>
        </is>
      </c>
      <c r="F4" t="inlineStr">
        <is>
          <t>I can tolerate it</t>
        </is>
      </c>
      <c r="G4" t="inlineStr">
        <is>
          <t>I can tolerate it</t>
        </is>
      </c>
      <c r="H4" t="inlineStr">
        <is>
          <t>I like it</t>
        </is>
      </c>
      <c r="I4" t="inlineStr">
        <is>
          <t>I can tolerate it</t>
        </is>
      </c>
      <c r="J4" t="inlineStr">
        <is>
          <t>I expect it</t>
        </is>
      </c>
      <c r="K4" t="inlineStr">
        <is>
          <t>I'm neutral</t>
        </is>
      </c>
      <c r="L4" t="inlineStr">
        <is>
          <t>I like it</t>
        </is>
      </c>
      <c r="M4" t="inlineStr">
        <is>
          <t>I'm neutral</t>
        </is>
      </c>
    </row>
    <row r="5">
      <c r="A5" s="18" t="n">
        <v>46279.51875</v>
      </c>
      <c r="B5" t="inlineStr">
        <is>
          <t>I like it</t>
        </is>
      </c>
      <c r="C5" t="inlineStr">
        <is>
          <t>I dislike it</t>
        </is>
      </c>
      <c r="D5" t="inlineStr">
        <is>
          <t>I expect it</t>
        </is>
      </c>
      <c r="E5" t="inlineStr">
        <is>
          <t>I dislike it</t>
        </is>
      </c>
      <c r="F5" t="inlineStr">
        <is>
          <t>I dislike it</t>
        </is>
      </c>
      <c r="G5" t="inlineStr">
        <is>
          <t>I like it</t>
        </is>
      </c>
      <c r="H5" t="inlineStr">
        <is>
          <t>I like it</t>
        </is>
      </c>
      <c r="I5" t="inlineStr">
        <is>
          <t>I expect it</t>
        </is>
      </c>
      <c r="J5" t="inlineStr">
        <is>
          <t>I like it</t>
        </is>
      </c>
      <c r="K5" t="inlineStr">
        <is>
          <t>I'm neutral</t>
        </is>
      </c>
      <c r="L5" t="inlineStr">
        <is>
          <t>I dislike it</t>
        </is>
      </c>
      <c r="M5" t="inlineStr">
        <is>
          <t>I'm neutral</t>
        </is>
      </c>
    </row>
    <row r="6">
      <c r="A6" s="18" t="n">
        <v>46279.525</v>
      </c>
      <c r="B6" t="inlineStr">
        <is>
          <t>I can tolerate it</t>
        </is>
      </c>
      <c r="C6" t="inlineStr">
        <is>
          <t>I dislike it</t>
        </is>
      </c>
      <c r="D6" t="inlineStr">
        <is>
          <t>I'm neutral</t>
        </is>
      </c>
      <c r="E6" t="inlineStr">
        <is>
          <t>I'm neutral</t>
        </is>
      </c>
      <c r="F6" t="inlineStr">
        <is>
          <t>I like it</t>
        </is>
      </c>
      <c r="G6" t="inlineStr">
        <is>
          <t>I can tolerate it</t>
        </is>
      </c>
      <c r="H6" t="inlineStr">
        <is>
          <t>I'm neutral</t>
        </is>
      </c>
      <c r="I6" t="inlineStr">
        <is>
          <t>I'm neutral</t>
        </is>
      </c>
      <c r="J6" t="inlineStr">
        <is>
          <t>I'm neutral</t>
        </is>
      </c>
      <c r="K6" t="inlineStr">
        <is>
          <t>I'm neutral</t>
        </is>
      </c>
      <c r="L6" t="inlineStr">
        <is>
          <t>I like it</t>
        </is>
      </c>
      <c r="M6" t="inlineStr">
        <is>
          <t>I expect it</t>
        </is>
      </c>
    </row>
    <row r="7">
      <c r="A7" s="18" t="n">
        <v>46279.53333333333</v>
      </c>
      <c r="B7" t="inlineStr">
        <is>
          <t>I like it</t>
        </is>
      </c>
      <c r="C7" t="inlineStr">
        <is>
          <t>I'm neutral</t>
        </is>
      </c>
      <c r="D7" t="inlineStr">
        <is>
          <t>I can tolerate it</t>
        </is>
      </c>
      <c r="E7" t="inlineStr">
        <is>
          <t>I dislike it</t>
        </is>
      </c>
      <c r="F7" t="inlineStr">
        <is>
          <t>I expect it</t>
        </is>
      </c>
      <c r="G7" t="inlineStr">
        <is>
          <t>I'm neutral</t>
        </is>
      </c>
      <c r="H7" t="inlineStr">
        <is>
          <t>I like it</t>
        </is>
      </c>
      <c r="I7" t="inlineStr">
        <is>
          <t>I'm neutral</t>
        </is>
      </c>
      <c r="J7" t="inlineStr">
        <is>
          <t>I like it</t>
        </is>
      </c>
      <c r="K7" t="inlineStr">
        <is>
          <t>I'm neutral</t>
        </is>
      </c>
      <c r="L7" t="inlineStr">
        <is>
          <t>I like it</t>
        </is>
      </c>
      <c r="M7" t="inlineStr">
        <is>
          <t>I'm neutral</t>
        </is>
      </c>
    </row>
    <row r="8">
      <c r="A8" s="18" t="n">
        <v>46279.58263888889</v>
      </c>
      <c r="B8" t="inlineStr">
        <is>
          <t>I expect it</t>
        </is>
      </c>
      <c r="C8" t="inlineStr">
        <is>
          <t>I dislike it</t>
        </is>
      </c>
      <c r="D8" t="inlineStr">
        <is>
          <t>I expect it</t>
        </is>
      </c>
      <c r="E8" t="inlineStr">
        <is>
          <t>I dislike it</t>
        </is>
      </c>
      <c r="F8" t="inlineStr">
        <is>
          <t>I like it</t>
        </is>
      </c>
      <c r="G8" t="inlineStr">
        <is>
          <t>I can tolerate it</t>
        </is>
      </c>
      <c r="H8" t="inlineStr">
        <is>
          <t>I can tolerate it</t>
        </is>
      </c>
      <c r="I8" t="inlineStr">
        <is>
          <t>I'm neutral</t>
        </is>
      </c>
      <c r="J8" t="inlineStr">
        <is>
          <t>I like it</t>
        </is>
      </c>
      <c r="K8" t="inlineStr">
        <is>
          <t>I'm neutral</t>
        </is>
      </c>
      <c r="L8" t="inlineStr">
        <is>
          <t>I dislike it</t>
        </is>
      </c>
      <c r="M8" t="inlineStr">
        <is>
          <t>I like it</t>
        </is>
      </c>
    </row>
    <row r="9">
      <c r="A9" s="18" t="n">
        <v>46279.59305555555</v>
      </c>
      <c r="B9" t="inlineStr">
        <is>
          <t>I like it</t>
        </is>
      </c>
      <c r="C9" t="inlineStr">
        <is>
          <t>I dislike it</t>
        </is>
      </c>
      <c r="D9" t="inlineStr">
        <is>
          <t>I can tolerate it</t>
        </is>
      </c>
      <c r="E9" t="inlineStr">
        <is>
          <t>I'm neutral</t>
        </is>
      </c>
      <c r="F9" t="inlineStr">
        <is>
          <t>I like it</t>
        </is>
      </c>
      <c r="G9" t="inlineStr">
        <is>
          <t>I dislike it</t>
        </is>
      </c>
      <c r="H9" t="inlineStr">
        <is>
          <t>I like it</t>
        </is>
      </c>
      <c r="I9" t="inlineStr">
        <is>
          <t>I expect it</t>
        </is>
      </c>
      <c r="J9" t="inlineStr">
        <is>
          <t>I'm neutral</t>
        </is>
      </c>
      <c r="K9" t="inlineStr">
        <is>
          <t>I can tolerate it</t>
        </is>
      </c>
      <c r="L9" t="inlineStr">
        <is>
          <t>I'm neutral</t>
        </is>
      </c>
      <c r="M9" t="inlineStr">
        <is>
          <t>I like it</t>
        </is>
      </c>
    </row>
    <row r="10">
      <c r="A10" s="18" t="n">
        <v>46279.62708333333</v>
      </c>
      <c r="B10" t="inlineStr">
        <is>
          <t>I can tolerate it</t>
        </is>
      </c>
      <c r="C10" t="inlineStr">
        <is>
          <t>I dislike it</t>
        </is>
      </c>
      <c r="D10" t="inlineStr">
        <is>
          <t>I like it</t>
        </is>
      </c>
      <c r="E10" t="inlineStr">
        <is>
          <t>I dislike it</t>
        </is>
      </c>
      <c r="F10" t="inlineStr">
        <is>
          <t>I like it</t>
        </is>
      </c>
      <c r="G10" t="inlineStr">
        <is>
          <t>I dislike it</t>
        </is>
      </c>
      <c r="H10" t="inlineStr">
        <is>
          <t>I'm neutral</t>
        </is>
      </c>
      <c r="I10" t="inlineStr">
        <is>
          <t>I like it</t>
        </is>
      </c>
      <c r="J10" t="inlineStr">
        <is>
          <t>I'm neutral</t>
        </is>
      </c>
      <c r="K10" t="inlineStr">
        <is>
          <t>I'm neutral</t>
        </is>
      </c>
      <c r="L10" t="inlineStr">
        <is>
          <t>I dislike it</t>
        </is>
      </c>
      <c r="M10" t="inlineStr">
        <is>
          <t>I can tolerate it</t>
        </is>
      </c>
    </row>
    <row r="11">
      <c r="A11" s="18" t="n">
        <v>46279.68055555555</v>
      </c>
      <c r="B11" t="inlineStr">
        <is>
          <t>I'm neutral</t>
        </is>
      </c>
      <c r="C11" t="inlineStr">
        <is>
          <t>I can tolerate it</t>
        </is>
      </c>
      <c r="D11" t="inlineStr">
        <is>
          <t>I like it</t>
        </is>
      </c>
      <c r="E11" t="inlineStr">
        <is>
          <t>I dislike it</t>
        </is>
      </c>
      <c r="F11" t="inlineStr">
        <is>
          <t>I like it</t>
        </is>
      </c>
      <c r="G11" t="inlineStr">
        <is>
          <t>I can tolerate it</t>
        </is>
      </c>
      <c r="H11" t="inlineStr">
        <is>
          <t>I'm neutral</t>
        </is>
      </c>
      <c r="I11" t="inlineStr">
        <is>
          <t>I'm neutral</t>
        </is>
      </c>
      <c r="J11" t="inlineStr">
        <is>
          <t>I'm neutral</t>
        </is>
      </c>
      <c r="K11" t="inlineStr">
        <is>
          <t>I'm neutral</t>
        </is>
      </c>
      <c r="L11" t="inlineStr">
        <is>
          <t>I expect it</t>
        </is>
      </c>
      <c r="M11" t="inlineStr">
        <is>
          <t>I'm neutral</t>
        </is>
      </c>
    </row>
    <row r="12">
      <c r="A12" s="18" t="n">
        <v>46279.6875</v>
      </c>
      <c r="B12" t="inlineStr">
        <is>
          <t>I'm neutral</t>
        </is>
      </c>
      <c r="C12" t="inlineStr">
        <is>
          <t>I dislike it</t>
        </is>
      </c>
      <c r="D12" t="inlineStr">
        <is>
          <t>I like it</t>
        </is>
      </c>
      <c r="E12" t="inlineStr">
        <is>
          <t>I'm neutral</t>
        </is>
      </c>
      <c r="F12" t="inlineStr">
        <is>
          <t>I'm neutral</t>
        </is>
      </c>
      <c r="G12" t="inlineStr">
        <is>
          <t>I'm neutral</t>
        </is>
      </c>
      <c r="H12" t="inlineStr">
        <is>
          <t>I like it</t>
        </is>
      </c>
      <c r="I12" t="inlineStr">
        <is>
          <t>I'm neutral</t>
        </is>
      </c>
      <c r="J12" t="inlineStr">
        <is>
          <t>I like it</t>
        </is>
      </c>
      <c r="K12" t="inlineStr">
        <is>
          <t>I dislike it</t>
        </is>
      </c>
      <c r="L12" t="inlineStr">
        <is>
          <t>I dislike it</t>
        </is>
      </c>
      <c r="M12" t="inlineStr">
        <is>
          <t>I'm neutral</t>
        </is>
      </c>
    </row>
    <row r="13">
      <c r="A13" s="18" t="n">
        <v>46279.73402777778</v>
      </c>
      <c r="B13" t="inlineStr">
        <is>
          <t>I expect it</t>
        </is>
      </c>
      <c r="C13" t="inlineStr">
        <is>
          <t>I dislike it</t>
        </is>
      </c>
      <c r="D13" t="inlineStr">
        <is>
          <t>I like it</t>
        </is>
      </c>
      <c r="E13" t="inlineStr">
        <is>
          <t>I can tolerate it</t>
        </is>
      </c>
      <c r="F13" t="inlineStr">
        <is>
          <t>I like it</t>
        </is>
      </c>
      <c r="G13" t="inlineStr">
        <is>
          <t>I'm neutral</t>
        </is>
      </c>
      <c r="H13" t="inlineStr">
        <is>
          <t>I like it</t>
        </is>
      </c>
      <c r="I13" t="inlineStr">
        <is>
          <t>I can tolerate it</t>
        </is>
      </c>
      <c r="J13" t="inlineStr">
        <is>
          <t>I like it</t>
        </is>
      </c>
      <c r="K13" t="inlineStr">
        <is>
          <t>I dislike it</t>
        </is>
      </c>
      <c r="L13" t="inlineStr">
        <is>
          <t>I can tolerate it</t>
        </is>
      </c>
      <c r="M13" t="inlineStr">
        <is>
          <t>I dislike it</t>
        </is>
      </c>
    </row>
    <row r="14">
      <c r="A14" s="18" t="n">
        <v>46279.75486111111</v>
      </c>
      <c r="B14" t="inlineStr">
        <is>
          <t>I like it</t>
        </is>
      </c>
      <c r="C14" t="inlineStr">
        <is>
          <t>I can tolerate it</t>
        </is>
      </c>
      <c r="D14" t="inlineStr">
        <is>
          <t>I like it</t>
        </is>
      </c>
      <c r="E14" t="inlineStr">
        <is>
          <t>I'm neutral</t>
        </is>
      </c>
      <c r="F14" t="inlineStr">
        <is>
          <t>I dislike it</t>
        </is>
      </c>
      <c r="G14" t="inlineStr">
        <is>
          <t>I can tolerate it</t>
        </is>
      </c>
      <c r="H14" t="inlineStr">
        <is>
          <t>I'm neutral</t>
        </is>
      </c>
      <c r="I14" t="inlineStr">
        <is>
          <t>I can tolerate it</t>
        </is>
      </c>
      <c r="J14" t="inlineStr">
        <is>
          <t>I can tolerate it</t>
        </is>
      </c>
      <c r="K14" t="inlineStr">
        <is>
          <t>I can tolerate it</t>
        </is>
      </c>
      <c r="L14" t="inlineStr">
        <is>
          <t>I expect it</t>
        </is>
      </c>
      <c r="M14" t="inlineStr">
        <is>
          <t>I expect it</t>
        </is>
      </c>
    </row>
    <row r="15">
      <c r="A15" s="18" t="n">
        <v>46279.75972222222</v>
      </c>
      <c r="B15" t="inlineStr">
        <is>
          <t>I'm neutral</t>
        </is>
      </c>
      <c r="C15" t="inlineStr">
        <is>
          <t>I dislike it</t>
        </is>
      </c>
      <c r="D15" t="inlineStr">
        <is>
          <t>I expect it</t>
        </is>
      </c>
      <c r="E15" t="inlineStr">
        <is>
          <t>I dislike it</t>
        </is>
      </c>
      <c r="F15" t="inlineStr">
        <is>
          <t>I'm neutral</t>
        </is>
      </c>
      <c r="G15" t="inlineStr">
        <is>
          <t>I'm neutral</t>
        </is>
      </c>
      <c r="H15" t="inlineStr">
        <is>
          <t>I like it</t>
        </is>
      </c>
      <c r="I15" t="inlineStr">
        <is>
          <t>I dislike it</t>
        </is>
      </c>
      <c r="J15" t="inlineStr">
        <is>
          <t>I'm neutral</t>
        </is>
      </c>
      <c r="K15" t="inlineStr">
        <is>
          <t>I'm neutral</t>
        </is>
      </c>
      <c r="L15" t="inlineStr">
        <is>
          <t>I like it</t>
        </is>
      </c>
      <c r="M15" t="inlineStr">
        <is>
          <t>I'm neutral</t>
        </is>
      </c>
    </row>
    <row r="16">
      <c r="A16" s="18" t="n">
        <v>46279.76944444444</v>
      </c>
      <c r="B16" t="inlineStr">
        <is>
          <t>I like it</t>
        </is>
      </c>
      <c r="C16" t="inlineStr">
        <is>
          <t>I dislike it</t>
        </is>
      </c>
      <c r="D16" t="inlineStr">
        <is>
          <t>I expect it</t>
        </is>
      </c>
      <c r="E16" t="inlineStr">
        <is>
          <t>I dislike it</t>
        </is>
      </c>
      <c r="F16" t="inlineStr">
        <is>
          <t>I expect it</t>
        </is>
      </c>
      <c r="G16" t="inlineStr">
        <is>
          <t>I dislike it</t>
        </is>
      </c>
      <c r="H16" t="inlineStr">
        <is>
          <t>I dislike it</t>
        </is>
      </c>
      <c r="I16" t="inlineStr">
        <is>
          <t>I'm neutral</t>
        </is>
      </c>
      <c r="J16" t="inlineStr">
        <is>
          <t>I'm neutral</t>
        </is>
      </c>
      <c r="K16" t="inlineStr">
        <is>
          <t>I can tolerate it</t>
        </is>
      </c>
      <c r="L16" t="inlineStr">
        <is>
          <t>I dislike it</t>
        </is>
      </c>
      <c r="M16" t="inlineStr">
        <is>
          <t>I like it</t>
        </is>
      </c>
    </row>
    <row r="17">
      <c r="A17" s="18" t="n">
        <v>46279.80972222222</v>
      </c>
      <c r="B17" t="inlineStr">
        <is>
          <t>I'm neutral</t>
        </is>
      </c>
      <c r="C17" t="inlineStr">
        <is>
          <t>I dislike it</t>
        </is>
      </c>
      <c r="D17" t="inlineStr">
        <is>
          <t>I can tolerate it</t>
        </is>
      </c>
      <c r="E17" t="inlineStr">
        <is>
          <t>I can tolerate it</t>
        </is>
      </c>
      <c r="F17" t="inlineStr">
        <is>
          <t>I like it</t>
        </is>
      </c>
      <c r="G17" t="inlineStr">
        <is>
          <t>I'm neutral</t>
        </is>
      </c>
      <c r="H17" t="inlineStr">
        <is>
          <t>I can tolerate it</t>
        </is>
      </c>
      <c r="I17" t="inlineStr">
        <is>
          <t>I can tolerate it</t>
        </is>
      </c>
      <c r="J17" t="inlineStr">
        <is>
          <t>I like it</t>
        </is>
      </c>
      <c r="K17" t="inlineStr">
        <is>
          <t>I expect it</t>
        </is>
      </c>
      <c r="L17" t="inlineStr">
        <is>
          <t>I'm neutral</t>
        </is>
      </c>
      <c r="M17" t="inlineStr">
        <is>
          <t>I can tolerate it</t>
        </is>
      </c>
    </row>
    <row r="18">
      <c r="A18" s="18" t="n">
        <v>46279.84861111111</v>
      </c>
      <c r="B18" t="inlineStr">
        <is>
          <t>I like it</t>
        </is>
      </c>
      <c r="C18" t="inlineStr">
        <is>
          <t>I'm neutral</t>
        </is>
      </c>
      <c r="D18" t="inlineStr">
        <is>
          <t>I like it</t>
        </is>
      </c>
      <c r="E18" t="inlineStr">
        <is>
          <t>I dislike it</t>
        </is>
      </c>
      <c r="F18" t="inlineStr">
        <is>
          <t>I like it</t>
        </is>
      </c>
      <c r="G18" t="inlineStr">
        <is>
          <t>I'm neutral</t>
        </is>
      </c>
      <c r="H18" t="inlineStr">
        <is>
          <t>I'm neutral</t>
        </is>
      </c>
      <c r="I18" t="inlineStr">
        <is>
          <t>I can tolerate it</t>
        </is>
      </c>
      <c r="J18" t="inlineStr">
        <is>
          <t>I like it</t>
        </is>
      </c>
      <c r="K18" t="inlineStr">
        <is>
          <t>I'm neutral</t>
        </is>
      </c>
      <c r="L18" t="inlineStr">
        <is>
          <t>I can tolerate it</t>
        </is>
      </c>
      <c r="M18" t="inlineStr">
        <is>
          <t>I'm neutral</t>
        </is>
      </c>
    </row>
    <row r="19">
      <c r="A19" s="18" t="n">
        <v>46279.85625</v>
      </c>
      <c r="B19" t="inlineStr">
        <is>
          <t>I like it</t>
        </is>
      </c>
      <c r="C19" t="inlineStr">
        <is>
          <t>I dislike it</t>
        </is>
      </c>
      <c r="D19" t="inlineStr">
        <is>
          <t>I like it</t>
        </is>
      </c>
      <c r="E19" t="inlineStr">
        <is>
          <t>I dislike it</t>
        </is>
      </c>
      <c r="F19" t="inlineStr">
        <is>
          <t>I like it</t>
        </is>
      </c>
      <c r="G19" t="inlineStr">
        <is>
          <t>I expect it</t>
        </is>
      </c>
      <c r="H19" t="inlineStr">
        <is>
          <t>I can tolerate it</t>
        </is>
      </c>
      <c r="I19" t="inlineStr">
        <is>
          <t>I'm neutral</t>
        </is>
      </c>
      <c r="J19" t="inlineStr">
        <is>
          <t>I expect it</t>
        </is>
      </c>
      <c r="K19" t="inlineStr">
        <is>
          <t>I dislike it</t>
        </is>
      </c>
      <c r="L19" t="inlineStr">
        <is>
          <t>I dislike it</t>
        </is>
      </c>
      <c r="M19" t="inlineStr">
        <is>
          <t>I like it</t>
        </is>
      </c>
    </row>
    <row r="20">
      <c r="A20" s="18" t="n">
        <v>46279.87916666667</v>
      </c>
      <c r="B20" t="inlineStr">
        <is>
          <t>I expect it</t>
        </is>
      </c>
      <c r="C20" t="inlineStr">
        <is>
          <t>I dislike it</t>
        </is>
      </c>
      <c r="D20" t="inlineStr">
        <is>
          <t>I like it</t>
        </is>
      </c>
      <c r="E20" t="inlineStr">
        <is>
          <t>I dislike it</t>
        </is>
      </c>
      <c r="F20" t="inlineStr">
        <is>
          <t>I like it</t>
        </is>
      </c>
      <c r="G20" t="inlineStr">
        <is>
          <t>I can tolerate it</t>
        </is>
      </c>
      <c r="H20" t="inlineStr">
        <is>
          <t>I like it</t>
        </is>
      </c>
      <c r="I20" t="inlineStr">
        <is>
          <t>I dislike it</t>
        </is>
      </c>
      <c r="J20" t="inlineStr">
        <is>
          <t>I like it</t>
        </is>
      </c>
      <c r="K20" t="inlineStr">
        <is>
          <t>I dislike it</t>
        </is>
      </c>
      <c r="L20" t="inlineStr">
        <is>
          <t>I'm neutral</t>
        </is>
      </c>
      <c r="M20" t="inlineStr">
        <is>
          <t>I'm neutral</t>
        </is>
      </c>
    </row>
    <row r="21">
      <c r="A21" s="18" t="n">
        <v>46279.88888888889</v>
      </c>
      <c r="B21" t="inlineStr">
        <is>
          <t>I expect it</t>
        </is>
      </c>
      <c r="C21" t="inlineStr">
        <is>
          <t>I dislike it</t>
        </is>
      </c>
      <c r="D21" t="inlineStr">
        <is>
          <t>I like it</t>
        </is>
      </c>
      <c r="E21" t="inlineStr">
        <is>
          <t>I dislike it</t>
        </is>
      </c>
      <c r="F21" t="inlineStr">
        <is>
          <t>I like it</t>
        </is>
      </c>
      <c r="G21" t="inlineStr">
        <is>
          <t>I'm neutral</t>
        </is>
      </c>
      <c r="H21" t="inlineStr">
        <is>
          <t>I expect it</t>
        </is>
      </c>
      <c r="I21" t="inlineStr">
        <is>
          <t>I'm neutral</t>
        </is>
      </c>
      <c r="J21" t="inlineStr">
        <is>
          <t>I'm neutral</t>
        </is>
      </c>
      <c r="K21" t="inlineStr">
        <is>
          <t>I'm neutral</t>
        </is>
      </c>
      <c r="L21" t="inlineStr">
        <is>
          <t>I'm neutral</t>
        </is>
      </c>
      <c r="M21" t="inlineStr">
        <is>
          <t>I'm neutral</t>
        </is>
      </c>
    </row>
    <row r="22">
      <c r="A22" s="18" t="n">
        <v>46279.93958333333</v>
      </c>
      <c r="B22" t="inlineStr">
        <is>
          <t>I like it</t>
        </is>
      </c>
      <c r="C22" t="inlineStr">
        <is>
          <t>I dislike it</t>
        </is>
      </c>
      <c r="D22" t="inlineStr">
        <is>
          <t>I like it</t>
        </is>
      </c>
      <c r="E22" t="inlineStr">
        <is>
          <t>I dislike it</t>
        </is>
      </c>
      <c r="F22" t="inlineStr">
        <is>
          <t>I like it</t>
        </is>
      </c>
      <c r="G22" t="inlineStr">
        <is>
          <t>I'm neutral</t>
        </is>
      </c>
      <c r="H22" t="inlineStr">
        <is>
          <t>I expect it</t>
        </is>
      </c>
      <c r="I22" t="inlineStr">
        <is>
          <t>I expect it</t>
        </is>
      </c>
      <c r="J22" t="inlineStr">
        <is>
          <t>I'm neutral</t>
        </is>
      </c>
      <c r="K22" t="inlineStr">
        <is>
          <t>I'm neutral</t>
        </is>
      </c>
      <c r="L22" t="inlineStr">
        <is>
          <t>I dislike it</t>
        </is>
      </c>
      <c r="M22" t="inlineStr">
        <is>
          <t>I'm neutral</t>
        </is>
      </c>
    </row>
    <row r="23">
      <c r="A23" s="18" t="n">
        <v>46279.97916666666</v>
      </c>
      <c r="B23" t="inlineStr">
        <is>
          <t>I like it</t>
        </is>
      </c>
      <c r="C23" t="inlineStr">
        <is>
          <t>I dislike it</t>
        </is>
      </c>
      <c r="D23" t="inlineStr">
        <is>
          <t>I can tolerate it</t>
        </is>
      </c>
      <c r="E23" t="inlineStr">
        <is>
          <t>I dislike it</t>
        </is>
      </c>
      <c r="F23" t="inlineStr">
        <is>
          <t>I like it</t>
        </is>
      </c>
      <c r="G23" t="inlineStr">
        <is>
          <t>I can tolerate it</t>
        </is>
      </c>
      <c r="H23" t="inlineStr">
        <is>
          <t>I like it</t>
        </is>
      </c>
      <c r="I23" t="inlineStr">
        <is>
          <t>I dislike it</t>
        </is>
      </c>
      <c r="J23" t="inlineStr">
        <is>
          <t>I'm neutral</t>
        </is>
      </c>
      <c r="K23" t="inlineStr">
        <is>
          <t>I'm neutral</t>
        </is>
      </c>
      <c r="L23" t="inlineStr">
        <is>
          <t>I'm neutral</t>
        </is>
      </c>
      <c r="M23" t="inlineStr">
        <is>
          <t>I can tolerate it</t>
        </is>
      </c>
    </row>
    <row r="24">
      <c r="A24" s="18" t="n">
        <v>46279.98611111111</v>
      </c>
      <c r="B24" t="inlineStr">
        <is>
          <t>I like it</t>
        </is>
      </c>
      <c r="C24" t="inlineStr">
        <is>
          <t>I dislike it</t>
        </is>
      </c>
      <c r="D24" t="inlineStr">
        <is>
          <t>I like it</t>
        </is>
      </c>
      <c r="E24" t="inlineStr">
        <is>
          <t>I dislike it</t>
        </is>
      </c>
      <c r="F24" t="inlineStr">
        <is>
          <t>I'm neutral</t>
        </is>
      </c>
      <c r="G24" t="inlineStr">
        <is>
          <t>I'm neutral</t>
        </is>
      </c>
      <c r="H24" t="inlineStr">
        <is>
          <t>I like it</t>
        </is>
      </c>
      <c r="I24" t="inlineStr">
        <is>
          <t>I'm neutral</t>
        </is>
      </c>
      <c r="J24" t="inlineStr">
        <is>
          <t>I dislike it</t>
        </is>
      </c>
      <c r="K24" t="inlineStr">
        <is>
          <t>I'm neutral</t>
        </is>
      </c>
      <c r="L24" t="inlineStr">
        <is>
          <t>I like it</t>
        </is>
      </c>
      <c r="M24" t="inlineStr">
        <is>
          <t>I can tolerate it</t>
        </is>
      </c>
    </row>
    <row r="25">
      <c r="A25" s="18" t="n">
        <v>46280.03819444445</v>
      </c>
      <c r="B25" t="inlineStr">
        <is>
          <t>I expect it</t>
        </is>
      </c>
      <c r="C25" t="inlineStr">
        <is>
          <t>I dislike it</t>
        </is>
      </c>
      <c r="D25" t="inlineStr">
        <is>
          <t>I like it</t>
        </is>
      </c>
      <c r="E25" t="inlineStr">
        <is>
          <t>I can tolerate it</t>
        </is>
      </c>
      <c r="F25" t="inlineStr">
        <is>
          <t>I'm neutral</t>
        </is>
      </c>
      <c r="G25" t="inlineStr">
        <is>
          <t>I can tolerate it</t>
        </is>
      </c>
      <c r="H25" t="inlineStr">
        <is>
          <t>I like it</t>
        </is>
      </c>
      <c r="I25" t="inlineStr">
        <is>
          <t>I'm neutral</t>
        </is>
      </c>
      <c r="J25" t="inlineStr">
        <is>
          <t>I'm neutral</t>
        </is>
      </c>
      <c r="K25" t="inlineStr">
        <is>
          <t>I'm neutral</t>
        </is>
      </c>
      <c r="L25" t="inlineStr">
        <is>
          <t>I like it</t>
        </is>
      </c>
      <c r="M25" t="inlineStr">
        <is>
          <t>I dislike it</t>
        </is>
      </c>
    </row>
    <row r="26">
      <c r="A26" s="18" t="n">
        <v>46280.05069444444</v>
      </c>
      <c r="B26" t="inlineStr">
        <is>
          <t>I'm neutral</t>
        </is>
      </c>
      <c r="C26" t="inlineStr">
        <is>
          <t>I dislike it</t>
        </is>
      </c>
      <c r="D26" t="inlineStr">
        <is>
          <t>I like it</t>
        </is>
      </c>
      <c r="E26" t="inlineStr">
        <is>
          <t>I dislike it</t>
        </is>
      </c>
      <c r="F26" t="inlineStr">
        <is>
          <t>I like it</t>
        </is>
      </c>
      <c r="G26" t="inlineStr">
        <is>
          <t>I expect it</t>
        </is>
      </c>
      <c r="H26" t="inlineStr">
        <is>
          <t>I like it</t>
        </is>
      </c>
      <c r="I26" t="inlineStr">
        <is>
          <t>I'm neutral</t>
        </is>
      </c>
      <c r="J26" t="inlineStr">
        <is>
          <t>I'm neutral</t>
        </is>
      </c>
      <c r="K26" t="inlineStr">
        <is>
          <t>I'm neutral</t>
        </is>
      </c>
      <c r="L26" t="inlineStr">
        <is>
          <t>I dislike it</t>
        </is>
      </c>
      <c r="M26" t="inlineStr">
        <is>
          <t>I'm neutral</t>
        </is>
      </c>
    </row>
    <row r="27">
      <c r="A27" s="18" t="n">
        <v>46280.07222222222</v>
      </c>
      <c r="B27" t="inlineStr">
        <is>
          <t>I expect it</t>
        </is>
      </c>
      <c r="C27" t="inlineStr">
        <is>
          <t>I dislike it</t>
        </is>
      </c>
      <c r="D27" t="inlineStr">
        <is>
          <t>I'm neutral</t>
        </is>
      </c>
      <c r="E27" t="inlineStr">
        <is>
          <t>I dislike it</t>
        </is>
      </c>
      <c r="F27" t="inlineStr">
        <is>
          <t>I'm neutral</t>
        </is>
      </c>
      <c r="G27" t="inlineStr">
        <is>
          <t>I'm neutral</t>
        </is>
      </c>
      <c r="H27" t="inlineStr">
        <is>
          <t>I like it</t>
        </is>
      </c>
      <c r="I27" t="inlineStr">
        <is>
          <t>I dislike it</t>
        </is>
      </c>
      <c r="J27" t="inlineStr">
        <is>
          <t>I'm neutral</t>
        </is>
      </c>
      <c r="K27" t="inlineStr">
        <is>
          <t>I'm neutral</t>
        </is>
      </c>
      <c r="L27" t="inlineStr">
        <is>
          <t>I like it</t>
        </is>
      </c>
      <c r="M27" t="inlineStr">
        <is>
          <t>I'm neutral</t>
        </is>
      </c>
    </row>
    <row r="28">
      <c r="A28" s="18" t="n">
        <v>46280.12986111111</v>
      </c>
      <c r="B28" t="inlineStr">
        <is>
          <t>I can tolerate it</t>
        </is>
      </c>
      <c r="C28" t="inlineStr">
        <is>
          <t>I dislike it</t>
        </is>
      </c>
      <c r="D28" t="inlineStr">
        <is>
          <t>I'm neutral</t>
        </is>
      </c>
      <c r="E28" t="inlineStr">
        <is>
          <t>I'm neutral</t>
        </is>
      </c>
      <c r="F28" t="inlineStr">
        <is>
          <t>I'm neutral</t>
        </is>
      </c>
      <c r="G28" t="inlineStr">
        <is>
          <t>I'm neutral</t>
        </is>
      </c>
      <c r="H28" t="inlineStr">
        <is>
          <t>I'm neutral</t>
        </is>
      </c>
      <c r="I28" t="inlineStr">
        <is>
          <t>I'm neutral</t>
        </is>
      </c>
      <c r="J28" t="inlineStr">
        <is>
          <t>I expect it</t>
        </is>
      </c>
      <c r="K28" t="inlineStr">
        <is>
          <t>I'm neutral</t>
        </is>
      </c>
      <c r="L28" t="inlineStr">
        <is>
          <t>I like it</t>
        </is>
      </c>
      <c r="M28" t="inlineStr">
        <is>
          <t>I dislike it</t>
        </is>
      </c>
    </row>
    <row r="29">
      <c r="A29" s="18" t="n">
        <v>46280.1875</v>
      </c>
      <c r="B29" t="inlineStr">
        <is>
          <t>I'm neutral</t>
        </is>
      </c>
      <c r="C29" t="inlineStr">
        <is>
          <t>I'm neutral</t>
        </is>
      </c>
      <c r="D29" t="inlineStr">
        <is>
          <t>I like it</t>
        </is>
      </c>
      <c r="E29" t="inlineStr">
        <is>
          <t>I dislike it</t>
        </is>
      </c>
      <c r="F29" t="inlineStr">
        <is>
          <t>I dislike it</t>
        </is>
      </c>
      <c r="G29" t="inlineStr">
        <is>
          <t>I'm neutral</t>
        </is>
      </c>
      <c r="H29" t="inlineStr">
        <is>
          <t>I'm neutral</t>
        </is>
      </c>
      <c r="I29" t="inlineStr">
        <is>
          <t>I can tolerate it</t>
        </is>
      </c>
      <c r="J29" t="inlineStr">
        <is>
          <t>I can tolerate it</t>
        </is>
      </c>
      <c r="K29" t="inlineStr">
        <is>
          <t>I can tolerate it</t>
        </is>
      </c>
      <c r="L29" t="inlineStr">
        <is>
          <t>I'm neutral</t>
        </is>
      </c>
      <c r="M29" t="inlineStr">
        <is>
          <t>I can tolerate it</t>
        </is>
      </c>
    </row>
    <row r="30">
      <c r="A30" s="18" t="n">
        <v>46280.24097222222</v>
      </c>
      <c r="B30" t="inlineStr">
        <is>
          <t>I expect it</t>
        </is>
      </c>
      <c r="C30" t="inlineStr">
        <is>
          <t>I dislike it</t>
        </is>
      </c>
      <c r="D30" t="inlineStr">
        <is>
          <t>I expect it</t>
        </is>
      </c>
      <c r="E30" t="inlineStr">
        <is>
          <t>I dislike it</t>
        </is>
      </c>
      <c r="F30" t="inlineStr">
        <is>
          <t>I'm neutral</t>
        </is>
      </c>
      <c r="G30" t="inlineStr">
        <is>
          <t>I'm neutral</t>
        </is>
      </c>
      <c r="H30" t="inlineStr">
        <is>
          <t>I expect it</t>
        </is>
      </c>
      <c r="I30" t="inlineStr">
        <is>
          <t>I dislike it</t>
        </is>
      </c>
      <c r="J30" t="inlineStr">
        <is>
          <t>I like it</t>
        </is>
      </c>
      <c r="K30" t="inlineStr">
        <is>
          <t>I'm neutral</t>
        </is>
      </c>
      <c r="L30" t="inlineStr">
        <is>
          <t>I'm neutral</t>
        </is>
      </c>
      <c r="M30" t="inlineStr">
        <is>
          <t>I dislike it</t>
        </is>
      </c>
    </row>
    <row r="31">
      <c r="A31" s="18" t="n">
        <v>46280.24791666667</v>
      </c>
      <c r="B31" t="inlineStr">
        <is>
          <t>I like it</t>
        </is>
      </c>
      <c r="C31" t="inlineStr">
        <is>
          <t>I'm neutral</t>
        </is>
      </c>
      <c r="D31" t="inlineStr">
        <is>
          <t>I like it</t>
        </is>
      </c>
      <c r="E31" t="inlineStr">
        <is>
          <t>I expect it</t>
        </is>
      </c>
      <c r="F31" t="inlineStr">
        <is>
          <t>I can tolerate it</t>
        </is>
      </c>
      <c r="G31" t="inlineStr">
        <is>
          <t>I'm neutral</t>
        </is>
      </c>
      <c r="H31" t="inlineStr">
        <is>
          <t>I like it</t>
        </is>
      </c>
      <c r="I31" t="inlineStr">
        <is>
          <t>I'm neutral</t>
        </is>
      </c>
      <c r="J31" t="inlineStr">
        <is>
          <t>I'm neutral</t>
        </is>
      </c>
      <c r="K31" t="inlineStr">
        <is>
          <t>I'm neutral</t>
        </is>
      </c>
      <c r="L31" t="inlineStr">
        <is>
          <t>I'm neutral</t>
        </is>
      </c>
      <c r="M31" t="inlineStr">
        <is>
          <t>I'm neutral</t>
        </is>
      </c>
    </row>
    <row r="32">
      <c r="A32" s="18" t="n">
        <v>46280.30069444444</v>
      </c>
      <c r="B32" t="inlineStr">
        <is>
          <t>I'm neutral</t>
        </is>
      </c>
      <c r="C32" t="inlineStr">
        <is>
          <t>I dislike it</t>
        </is>
      </c>
      <c r="D32" t="inlineStr">
        <is>
          <t>I like it</t>
        </is>
      </c>
      <c r="E32" t="inlineStr">
        <is>
          <t>I dislike it</t>
        </is>
      </c>
      <c r="F32" t="inlineStr">
        <is>
          <t>I like it</t>
        </is>
      </c>
      <c r="G32" t="inlineStr">
        <is>
          <t>I can tolerate it</t>
        </is>
      </c>
      <c r="H32" t="inlineStr">
        <is>
          <t>I like it</t>
        </is>
      </c>
      <c r="I32" t="inlineStr">
        <is>
          <t>I dislike it</t>
        </is>
      </c>
      <c r="J32" t="inlineStr">
        <is>
          <t>I'm neutral</t>
        </is>
      </c>
      <c r="K32" t="inlineStr">
        <is>
          <t>I'm neutral</t>
        </is>
      </c>
      <c r="L32" t="inlineStr">
        <is>
          <t>I'm neutral</t>
        </is>
      </c>
      <c r="M32" t="inlineStr">
        <is>
          <t>I can tolerate it</t>
        </is>
      </c>
    </row>
    <row r="33">
      <c r="A33" s="18" t="n">
        <v>46280.35416666666</v>
      </c>
      <c r="B33" t="inlineStr">
        <is>
          <t>I like it</t>
        </is>
      </c>
      <c r="C33" t="inlineStr">
        <is>
          <t>I dislike it</t>
        </is>
      </c>
      <c r="D33" t="inlineStr">
        <is>
          <t>I like it</t>
        </is>
      </c>
      <c r="E33" t="inlineStr">
        <is>
          <t>I dislike it</t>
        </is>
      </c>
      <c r="F33" t="inlineStr">
        <is>
          <t>I can tolerate it</t>
        </is>
      </c>
      <c r="G33" t="inlineStr">
        <is>
          <t>I like it</t>
        </is>
      </c>
      <c r="H33" t="inlineStr">
        <is>
          <t>I like it</t>
        </is>
      </c>
      <c r="I33" t="inlineStr">
        <is>
          <t>I'm neutral</t>
        </is>
      </c>
      <c r="J33" t="inlineStr">
        <is>
          <t>I can tolerate it</t>
        </is>
      </c>
      <c r="K33" t="inlineStr">
        <is>
          <t>I'm neutral</t>
        </is>
      </c>
      <c r="L33" t="inlineStr">
        <is>
          <t>I'm neutral</t>
        </is>
      </c>
      <c r="M33" t="inlineStr">
        <is>
          <t>I'm neutral</t>
        </is>
      </c>
    </row>
    <row r="34">
      <c r="A34" s="18" t="n">
        <v>46280.39097222222</v>
      </c>
      <c r="B34" t="inlineStr">
        <is>
          <t>I expect it</t>
        </is>
      </c>
      <c r="C34" t="inlineStr">
        <is>
          <t>I dislike it</t>
        </is>
      </c>
      <c r="D34" t="inlineStr">
        <is>
          <t>I like it</t>
        </is>
      </c>
      <c r="E34" t="inlineStr">
        <is>
          <t>I dislike it</t>
        </is>
      </c>
      <c r="F34" t="inlineStr">
        <is>
          <t>I like it</t>
        </is>
      </c>
      <c r="G34" t="inlineStr">
        <is>
          <t>I dislike it</t>
        </is>
      </c>
      <c r="H34" t="inlineStr">
        <is>
          <t>I like it</t>
        </is>
      </c>
      <c r="I34" t="inlineStr">
        <is>
          <t>I expect it</t>
        </is>
      </c>
      <c r="J34" t="inlineStr">
        <is>
          <t>I expect it</t>
        </is>
      </c>
      <c r="K34" t="inlineStr">
        <is>
          <t>I expect it</t>
        </is>
      </c>
      <c r="L34" t="inlineStr">
        <is>
          <t>I like it</t>
        </is>
      </c>
      <c r="M34" t="inlineStr">
        <is>
          <t>I dislike it</t>
        </is>
      </c>
    </row>
    <row r="35">
      <c r="A35" s="18" t="n">
        <v>46280.39722222222</v>
      </c>
      <c r="B35" t="inlineStr">
        <is>
          <t>I can tolerate it</t>
        </is>
      </c>
      <c r="C35" t="inlineStr">
        <is>
          <t>I dislike it</t>
        </is>
      </c>
      <c r="D35" t="inlineStr">
        <is>
          <t>I like it</t>
        </is>
      </c>
      <c r="E35" t="inlineStr">
        <is>
          <t>I dislike it</t>
        </is>
      </c>
      <c r="F35" t="inlineStr">
        <is>
          <t>I like it</t>
        </is>
      </c>
      <c r="G35" t="inlineStr">
        <is>
          <t>I'm neutral</t>
        </is>
      </c>
      <c r="H35" t="inlineStr">
        <is>
          <t>I expect it</t>
        </is>
      </c>
      <c r="I35" t="inlineStr">
        <is>
          <t>I expect it</t>
        </is>
      </c>
      <c r="J35" t="inlineStr">
        <is>
          <t>I'm neutral</t>
        </is>
      </c>
      <c r="K35" t="inlineStr">
        <is>
          <t>I dislike it</t>
        </is>
      </c>
      <c r="L35" t="inlineStr">
        <is>
          <t>I'm neutral</t>
        </is>
      </c>
      <c r="M35" t="inlineStr">
        <is>
          <t>I dislike it</t>
        </is>
      </c>
    </row>
    <row r="36">
      <c r="A36" s="18" t="n">
        <v>46280.41875</v>
      </c>
      <c r="B36" t="inlineStr">
        <is>
          <t>I expect it</t>
        </is>
      </c>
      <c r="C36" t="inlineStr">
        <is>
          <t>I dislike it</t>
        </is>
      </c>
      <c r="D36" t="inlineStr">
        <is>
          <t>I like it</t>
        </is>
      </c>
      <c r="E36" t="inlineStr">
        <is>
          <t>I dislike it</t>
        </is>
      </c>
      <c r="F36" t="inlineStr">
        <is>
          <t>I can tolerate it</t>
        </is>
      </c>
      <c r="G36" t="inlineStr">
        <is>
          <t>I'm neutral</t>
        </is>
      </c>
      <c r="H36" t="inlineStr">
        <is>
          <t>I'm neutral</t>
        </is>
      </c>
      <c r="I36" t="inlineStr">
        <is>
          <t>I'm neutral</t>
        </is>
      </c>
      <c r="J36" t="inlineStr">
        <is>
          <t>I'm neutral</t>
        </is>
      </c>
      <c r="K36" t="inlineStr">
        <is>
          <t>I'm neutral</t>
        </is>
      </c>
      <c r="L36" t="inlineStr">
        <is>
          <t>I like it</t>
        </is>
      </c>
      <c r="M36" t="inlineStr">
        <is>
          <t>I dislike it</t>
        </is>
      </c>
    </row>
    <row r="37">
      <c r="A37" s="18" t="n">
        <v>46280.42430555556</v>
      </c>
      <c r="B37" t="inlineStr">
        <is>
          <t>I expect it</t>
        </is>
      </c>
      <c r="C37" t="inlineStr">
        <is>
          <t>I dislike it</t>
        </is>
      </c>
      <c r="D37" t="inlineStr">
        <is>
          <t>I like it</t>
        </is>
      </c>
      <c r="E37" t="inlineStr">
        <is>
          <t>I dislike it</t>
        </is>
      </c>
      <c r="F37" t="inlineStr">
        <is>
          <t>I like it</t>
        </is>
      </c>
      <c r="G37" t="inlineStr">
        <is>
          <t>I'm neutral</t>
        </is>
      </c>
      <c r="H37" t="inlineStr">
        <is>
          <t>I expect it</t>
        </is>
      </c>
      <c r="I37" t="inlineStr">
        <is>
          <t>I dislike it</t>
        </is>
      </c>
      <c r="J37" t="inlineStr">
        <is>
          <t>I can tolerate it</t>
        </is>
      </c>
      <c r="K37" t="inlineStr">
        <is>
          <t>I'm neutral</t>
        </is>
      </c>
      <c r="L37" t="inlineStr">
        <is>
          <t>I'm neutral</t>
        </is>
      </c>
      <c r="M37" t="inlineStr">
        <is>
          <t>I like it</t>
        </is>
      </c>
    </row>
    <row r="38">
      <c r="A38" s="18" t="n">
        <v>46280.47569444445</v>
      </c>
      <c r="B38" t="inlineStr">
        <is>
          <t>I expect it</t>
        </is>
      </c>
      <c r="C38" t="inlineStr">
        <is>
          <t>I dislike it</t>
        </is>
      </c>
      <c r="D38" t="inlineStr">
        <is>
          <t>I like it</t>
        </is>
      </c>
      <c r="E38" t="inlineStr">
        <is>
          <t>I dislike it</t>
        </is>
      </c>
      <c r="F38" t="inlineStr">
        <is>
          <t>I can tolerate it</t>
        </is>
      </c>
      <c r="G38" t="inlineStr">
        <is>
          <t>I can tolerate it</t>
        </is>
      </c>
      <c r="H38" t="inlineStr">
        <is>
          <t>I like it</t>
        </is>
      </c>
      <c r="I38" t="inlineStr">
        <is>
          <t>I dislike it</t>
        </is>
      </c>
      <c r="J38" t="inlineStr">
        <is>
          <t>I'm neutral</t>
        </is>
      </c>
      <c r="K38" t="inlineStr">
        <is>
          <t>I'm neutral</t>
        </is>
      </c>
      <c r="L38" t="inlineStr">
        <is>
          <t>I dislike it</t>
        </is>
      </c>
      <c r="M38" t="inlineStr">
        <is>
          <t>I'm neutral</t>
        </is>
      </c>
    </row>
    <row r="39">
      <c r="A39" s="18" t="n">
        <v>46280.48958333334</v>
      </c>
      <c r="B39" t="inlineStr">
        <is>
          <t>I like it</t>
        </is>
      </c>
      <c r="C39" t="inlineStr">
        <is>
          <t>I dislike it</t>
        </is>
      </c>
      <c r="D39" t="inlineStr">
        <is>
          <t>I like it</t>
        </is>
      </c>
      <c r="E39" t="inlineStr">
        <is>
          <t>I dislike it</t>
        </is>
      </c>
      <c r="F39" t="inlineStr">
        <is>
          <t>I like it</t>
        </is>
      </c>
      <c r="G39" t="inlineStr">
        <is>
          <t>I can tolerate it</t>
        </is>
      </c>
      <c r="H39" t="inlineStr">
        <is>
          <t>I like it</t>
        </is>
      </c>
      <c r="I39" t="inlineStr">
        <is>
          <t>I'm neutral</t>
        </is>
      </c>
      <c r="J39" t="inlineStr">
        <is>
          <t>I'm neutral</t>
        </is>
      </c>
      <c r="K39" t="inlineStr">
        <is>
          <t>I'm neutral</t>
        </is>
      </c>
      <c r="L39" t="inlineStr">
        <is>
          <t>I dislike it</t>
        </is>
      </c>
      <c r="M39" t="inlineStr">
        <is>
          <t>I'm neutral</t>
        </is>
      </c>
    </row>
    <row r="40">
      <c r="A40" s="18" t="n">
        <v>46280.51736111111</v>
      </c>
      <c r="B40" t="inlineStr">
        <is>
          <t>I expect it</t>
        </is>
      </c>
      <c r="C40" t="inlineStr">
        <is>
          <t>I dislike it</t>
        </is>
      </c>
      <c r="D40" t="inlineStr">
        <is>
          <t>I like it</t>
        </is>
      </c>
      <c r="E40" t="inlineStr">
        <is>
          <t>I dislike it</t>
        </is>
      </c>
      <c r="F40" t="inlineStr">
        <is>
          <t>I like it</t>
        </is>
      </c>
      <c r="G40" t="inlineStr">
        <is>
          <t>I expect it</t>
        </is>
      </c>
      <c r="H40" t="inlineStr">
        <is>
          <t>I'm neutral</t>
        </is>
      </c>
      <c r="I40" t="inlineStr">
        <is>
          <t>I'm neutral</t>
        </is>
      </c>
      <c r="J40" t="inlineStr">
        <is>
          <t>I expect it</t>
        </is>
      </c>
      <c r="K40" t="inlineStr">
        <is>
          <t>I'm neutral</t>
        </is>
      </c>
      <c r="L40" t="inlineStr">
        <is>
          <t>I'm neutral</t>
        </is>
      </c>
      <c r="M40" t="inlineStr">
        <is>
          <t>I can tolerate it</t>
        </is>
      </c>
    </row>
    <row r="41">
      <c r="A41" s="18" t="n">
        <v>46280.55625</v>
      </c>
      <c r="B41" t="inlineStr">
        <is>
          <t>I expect it</t>
        </is>
      </c>
      <c r="C41" t="inlineStr">
        <is>
          <t>I dislike it</t>
        </is>
      </c>
      <c r="D41" t="inlineStr">
        <is>
          <t>I expect it</t>
        </is>
      </c>
      <c r="E41" t="inlineStr">
        <is>
          <t>I dislike it</t>
        </is>
      </c>
      <c r="F41" t="inlineStr">
        <is>
          <t>I like it</t>
        </is>
      </c>
      <c r="G41" t="inlineStr">
        <is>
          <t>I can tolerate it</t>
        </is>
      </c>
      <c r="H41" t="inlineStr">
        <is>
          <t>I'm neutral</t>
        </is>
      </c>
      <c r="I41" t="inlineStr">
        <is>
          <t>I'm neutral</t>
        </is>
      </c>
      <c r="J41" t="inlineStr">
        <is>
          <t>I'm neutral</t>
        </is>
      </c>
      <c r="K41" t="inlineStr">
        <is>
          <t>I can tolerate it</t>
        </is>
      </c>
      <c r="L41" t="inlineStr">
        <is>
          <t>I like it</t>
        </is>
      </c>
      <c r="M41" t="inlineStr">
        <is>
          <t>I dislike it</t>
        </is>
      </c>
    </row>
    <row r="42">
      <c r="A42" s="18" t="n">
        <v>46280.57083333333</v>
      </c>
      <c r="B42" t="inlineStr">
        <is>
          <t>I'm neutral</t>
        </is>
      </c>
      <c r="C42" t="inlineStr">
        <is>
          <t>I'm neutral</t>
        </is>
      </c>
      <c r="D42" t="inlineStr">
        <is>
          <t>I like it</t>
        </is>
      </c>
      <c r="E42" t="inlineStr">
        <is>
          <t>I dislike it</t>
        </is>
      </c>
      <c r="F42" t="inlineStr">
        <is>
          <t>I like it</t>
        </is>
      </c>
      <c r="G42" t="inlineStr">
        <is>
          <t>I'm neutral</t>
        </is>
      </c>
      <c r="H42" t="inlineStr">
        <is>
          <t>I like it</t>
        </is>
      </c>
      <c r="I42" t="inlineStr">
        <is>
          <t>I dislike it</t>
        </is>
      </c>
      <c r="J42" t="inlineStr">
        <is>
          <t>I'm neutral</t>
        </is>
      </c>
      <c r="K42" t="inlineStr">
        <is>
          <t>I'm neutral</t>
        </is>
      </c>
      <c r="L42" t="inlineStr">
        <is>
          <t>I like it</t>
        </is>
      </c>
      <c r="M42" t="inlineStr">
        <is>
          <t>I'm neutral</t>
        </is>
      </c>
    </row>
    <row r="43">
      <c r="A43" s="18" t="n">
        <v>46280.62083333333</v>
      </c>
      <c r="B43" t="inlineStr">
        <is>
          <t>I like it</t>
        </is>
      </c>
      <c r="C43" t="inlineStr">
        <is>
          <t>I dislike it</t>
        </is>
      </c>
      <c r="D43" t="inlineStr">
        <is>
          <t>I'm neutral</t>
        </is>
      </c>
      <c r="E43" t="inlineStr">
        <is>
          <t>I'm neutral</t>
        </is>
      </c>
      <c r="F43" t="inlineStr">
        <is>
          <t>I like it</t>
        </is>
      </c>
      <c r="G43" t="inlineStr">
        <is>
          <t>I'm neutral</t>
        </is>
      </c>
      <c r="H43" t="inlineStr">
        <is>
          <t>I can tolerate it</t>
        </is>
      </c>
      <c r="I43" t="inlineStr">
        <is>
          <t>I'm neutral</t>
        </is>
      </c>
      <c r="J43" t="inlineStr">
        <is>
          <t>I like it</t>
        </is>
      </c>
      <c r="K43" t="inlineStr">
        <is>
          <t>I dislike it</t>
        </is>
      </c>
      <c r="L43" t="inlineStr">
        <is>
          <t>I dislike it</t>
        </is>
      </c>
      <c r="M43" t="inlineStr">
        <is>
          <t>I'm neutral</t>
        </is>
      </c>
    </row>
    <row r="44">
      <c r="A44" s="18" t="n">
        <v>46280.63333333333</v>
      </c>
      <c r="B44" t="inlineStr">
        <is>
          <t>I expect it</t>
        </is>
      </c>
      <c r="C44" t="inlineStr">
        <is>
          <t>I dislike it</t>
        </is>
      </c>
      <c r="D44" t="inlineStr">
        <is>
          <t>I expect it</t>
        </is>
      </c>
      <c r="E44" t="inlineStr">
        <is>
          <t>I dislike it</t>
        </is>
      </c>
      <c r="F44" t="inlineStr">
        <is>
          <t>I like it</t>
        </is>
      </c>
      <c r="G44" t="inlineStr">
        <is>
          <t>I dislike it</t>
        </is>
      </c>
      <c r="H44" t="inlineStr">
        <is>
          <t>I like it</t>
        </is>
      </c>
      <c r="I44" t="inlineStr">
        <is>
          <t>I expect it</t>
        </is>
      </c>
      <c r="J44" t="inlineStr">
        <is>
          <t>I like it</t>
        </is>
      </c>
      <c r="K44" t="inlineStr">
        <is>
          <t>I can tolerate it</t>
        </is>
      </c>
      <c r="L44" t="inlineStr">
        <is>
          <t>I'm neutral</t>
        </is>
      </c>
      <c r="M44" t="inlineStr">
        <is>
          <t>I dislike it</t>
        </is>
      </c>
    </row>
    <row r="45">
      <c r="A45" s="18" t="n">
        <v>46280.68611111111</v>
      </c>
      <c r="B45" t="inlineStr">
        <is>
          <t>I expect it</t>
        </is>
      </c>
      <c r="C45" t="inlineStr">
        <is>
          <t>I dislike it</t>
        </is>
      </c>
      <c r="D45" t="inlineStr">
        <is>
          <t>I'm neutral</t>
        </is>
      </c>
      <c r="E45" t="inlineStr">
        <is>
          <t>I'm neutral</t>
        </is>
      </c>
      <c r="F45" t="inlineStr">
        <is>
          <t>I expect it</t>
        </is>
      </c>
      <c r="G45" t="inlineStr">
        <is>
          <t>I dislike it</t>
        </is>
      </c>
      <c r="H45" t="inlineStr">
        <is>
          <t>I'm neutral</t>
        </is>
      </c>
      <c r="I45" t="inlineStr">
        <is>
          <t>I can tolerate it</t>
        </is>
      </c>
      <c r="J45" t="inlineStr">
        <is>
          <t>I like it</t>
        </is>
      </c>
      <c r="K45" t="inlineStr">
        <is>
          <t>I dislike it</t>
        </is>
      </c>
      <c r="L45" t="inlineStr">
        <is>
          <t>I expect it</t>
        </is>
      </c>
      <c r="M45" t="inlineStr">
        <is>
          <t>I'm neutral</t>
        </is>
      </c>
    </row>
    <row r="46">
      <c r="A46" s="18" t="n">
        <v>46280.71527777778</v>
      </c>
      <c r="B46" t="inlineStr">
        <is>
          <t>I expect it</t>
        </is>
      </c>
      <c r="C46" t="inlineStr">
        <is>
          <t>I dislike it</t>
        </is>
      </c>
      <c r="D46" t="inlineStr">
        <is>
          <t>I'm neutral</t>
        </is>
      </c>
      <c r="E46" t="inlineStr">
        <is>
          <t>I dislike it</t>
        </is>
      </c>
      <c r="F46" t="inlineStr">
        <is>
          <t>I can tolerate it</t>
        </is>
      </c>
      <c r="G46" t="inlineStr">
        <is>
          <t>I dislike it</t>
        </is>
      </c>
      <c r="H46" t="inlineStr">
        <is>
          <t>I like it</t>
        </is>
      </c>
      <c r="I46" t="inlineStr">
        <is>
          <t>I dislike it</t>
        </is>
      </c>
      <c r="J46" t="inlineStr">
        <is>
          <t>I'm neutral</t>
        </is>
      </c>
      <c r="K46" t="inlineStr">
        <is>
          <t>I'm neutral</t>
        </is>
      </c>
      <c r="L46" t="inlineStr">
        <is>
          <t>I'm neutral</t>
        </is>
      </c>
      <c r="M46" t="inlineStr">
        <is>
          <t>I'm neutral</t>
        </is>
      </c>
    </row>
    <row r="47">
      <c r="A47" s="18" t="n">
        <v>46280.76666666667</v>
      </c>
      <c r="B47" t="inlineStr">
        <is>
          <t>I expect it</t>
        </is>
      </c>
      <c r="C47" t="inlineStr">
        <is>
          <t>I expect it</t>
        </is>
      </c>
      <c r="D47" t="inlineStr">
        <is>
          <t>I expect it</t>
        </is>
      </c>
      <c r="E47" t="inlineStr">
        <is>
          <t>I dislike it</t>
        </is>
      </c>
      <c r="F47" t="inlineStr">
        <is>
          <t>I'm neutral</t>
        </is>
      </c>
      <c r="G47" t="inlineStr">
        <is>
          <t>I dislike it</t>
        </is>
      </c>
      <c r="H47" t="inlineStr">
        <is>
          <t>I like it</t>
        </is>
      </c>
      <c r="I47" t="inlineStr">
        <is>
          <t>I can tolerate it</t>
        </is>
      </c>
      <c r="J47" t="inlineStr">
        <is>
          <t>I can tolerate it</t>
        </is>
      </c>
      <c r="K47" t="inlineStr">
        <is>
          <t>I'm neutral</t>
        </is>
      </c>
      <c r="L47" t="inlineStr">
        <is>
          <t>I'm neutral</t>
        </is>
      </c>
      <c r="M47" t="inlineStr">
        <is>
          <t>I'm neutral</t>
        </is>
      </c>
    </row>
    <row r="48">
      <c r="A48" s="18" t="n">
        <v>46280.82916666667</v>
      </c>
      <c r="B48" t="inlineStr">
        <is>
          <t>I like it</t>
        </is>
      </c>
      <c r="C48" t="inlineStr">
        <is>
          <t>I dislike it</t>
        </is>
      </c>
      <c r="D48" t="inlineStr">
        <is>
          <t>I expect it</t>
        </is>
      </c>
      <c r="E48" t="inlineStr">
        <is>
          <t>I dislike it</t>
        </is>
      </c>
      <c r="F48" t="inlineStr">
        <is>
          <t>I'm neutral</t>
        </is>
      </c>
      <c r="G48" t="inlineStr">
        <is>
          <t>I'm neutral</t>
        </is>
      </c>
      <c r="H48" t="inlineStr">
        <is>
          <t>I'm neutral</t>
        </is>
      </c>
      <c r="I48" t="inlineStr">
        <is>
          <t>I can tolerate it</t>
        </is>
      </c>
      <c r="J48" t="inlineStr">
        <is>
          <t>I'm neutral</t>
        </is>
      </c>
      <c r="K48" t="inlineStr">
        <is>
          <t>I'm neutral</t>
        </is>
      </c>
      <c r="L48" t="inlineStr">
        <is>
          <t>I'm neutral</t>
        </is>
      </c>
      <c r="M48" t="inlineStr">
        <is>
          <t>I can tolerate it</t>
        </is>
      </c>
    </row>
    <row r="49">
      <c r="A49" s="18" t="n">
        <v>46280.84722222222</v>
      </c>
      <c r="B49" t="inlineStr">
        <is>
          <t>I expect it</t>
        </is>
      </c>
      <c r="C49" t="inlineStr">
        <is>
          <t>I dislike it</t>
        </is>
      </c>
      <c r="D49" t="inlineStr">
        <is>
          <t>I'm neutral</t>
        </is>
      </c>
      <c r="E49" t="inlineStr">
        <is>
          <t>I'm neutral</t>
        </is>
      </c>
      <c r="F49" t="inlineStr">
        <is>
          <t>I expect it</t>
        </is>
      </c>
      <c r="G49" t="inlineStr">
        <is>
          <t>I dislike it</t>
        </is>
      </c>
      <c r="H49" t="inlineStr">
        <is>
          <t>I'm neutral</t>
        </is>
      </c>
      <c r="I49" t="inlineStr">
        <is>
          <t>I'm neutral</t>
        </is>
      </c>
      <c r="J49" t="inlineStr">
        <is>
          <t>I like it</t>
        </is>
      </c>
      <c r="K49" t="inlineStr">
        <is>
          <t>I'm neutral</t>
        </is>
      </c>
      <c r="L49" t="inlineStr">
        <is>
          <t>I dislike it</t>
        </is>
      </c>
      <c r="M49" t="inlineStr">
        <is>
          <t>I can tolerate it</t>
        </is>
      </c>
    </row>
    <row r="50">
      <c r="A50" s="18" t="n">
        <v>46280.85833333333</v>
      </c>
      <c r="B50" t="inlineStr">
        <is>
          <t>I like it</t>
        </is>
      </c>
      <c r="C50" t="inlineStr">
        <is>
          <t>I can tolerate it</t>
        </is>
      </c>
      <c r="D50" t="inlineStr">
        <is>
          <t>I can tolerate it</t>
        </is>
      </c>
      <c r="E50" t="inlineStr">
        <is>
          <t>I'm neutral</t>
        </is>
      </c>
      <c r="F50" t="inlineStr">
        <is>
          <t>I like it</t>
        </is>
      </c>
      <c r="G50" t="inlineStr">
        <is>
          <t>I dislike it</t>
        </is>
      </c>
      <c r="H50" t="inlineStr">
        <is>
          <t>I like it</t>
        </is>
      </c>
      <c r="I50" t="inlineStr">
        <is>
          <t>I'm neutral</t>
        </is>
      </c>
      <c r="J50" t="inlineStr">
        <is>
          <t>I like it</t>
        </is>
      </c>
      <c r="K50" t="inlineStr">
        <is>
          <t>I dislike it</t>
        </is>
      </c>
      <c r="L50" t="inlineStr">
        <is>
          <t>I dislike it</t>
        </is>
      </c>
      <c r="M50" t="inlineStr">
        <is>
          <t>I'm neutral</t>
        </is>
      </c>
    </row>
    <row r="51">
      <c r="A51" s="18" t="n">
        <v>46280.91180555556</v>
      </c>
      <c r="B51" t="inlineStr">
        <is>
          <t>I expect it</t>
        </is>
      </c>
      <c r="C51" t="inlineStr">
        <is>
          <t>I dislike it</t>
        </is>
      </c>
      <c r="D51" t="inlineStr">
        <is>
          <t>I like it</t>
        </is>
      </c>
      <c r="E51" t="inlineStr">
        <is>
          <t>I expect it</t>
        </is>
      </c>
      <c r="F51" t="inlineStr">
        <is>
          <t>I dislike it</t>
        </is>
      </c>
      <c r="G51" t="inlineStr">
        <is>
          <t>I'm neutral</t>
        </is>
      </c>
      <c r="H51" t="inlineStr">
        <is>
          <t>I'm neutral</t>
        </is>
      </c>
      <c r="I51" t="inlineStr">
        <is>
          <t>I'm neutral</t>
        </is>
      </c>
      <c r="J51" t="inlineStr">
        <is>
          <t>I like it</t>
        </is>
      </c>
      <c r="K51" t="inlineStr">
        <is>
          <t>I dislike it</t>
        </is>
      </c>
      <c r="L51" t="inlineStr">
        <is>
          <t>I like it</t>
        </is>
      </c>
      <c r="M51" t="inlineStr">
        <is>
          <t>I dislike it</t>
        </is>
      </c>
    </row>
    <row r="52">
      <c r="A52" s="18" t="n">
        <v>46280.96458333333</v>
      </c>
      <c r="B52" t="inlineStr">
        <is>
          <t>I like it</t>
        </is>
      </c>
      <c r="C52" t="inlineStr">
        <is>
          <t>I dislike it</t>
        </is>
      </c>
      <c r="D52" t="inlineStr">
        <is>
          <t>I like it</t>
        </is>
      </c>
      <c r="E52" t="inlineStr">
        <is>
          <t>I'm neutral</t>
        </is>
      </c>
      <c r="F52" t="inlineStr">
        <is>
          <t>I like it</t>
        </is>
      </c>
      <c r="G52" t="inlineStr">
        <is>
          <t>I expect it</t>
        </is>
      </c>
      <c r="H52" t="inlineStr">
        <is>
          <t>I like it</t>
        </is>
      </c>
      <c r="I52" t="inlineStr">
        <is>
          <t>I dislike it</t>
        </is>
      </c>
      <c r="J52" t="inlineStr">
        <is>
          <t>I can tolerate it</t>
        </is>
      </c>
      <c r="K52" t="inlineStr">
        <is>
          <t>I'm neutral</t>
        </is>
      </c>
      <c r="L52" t="inlineStr">
        <is>
          <t>I dislike it</t>
        </is>
      </c>
      <c r="M52" t="inlineStr">
        <is>
          <t>I'm neutral</t>
        </is>
      </c>
    </row>
    <row r="53">
      <c r="A53" s="18" t="n">
        <v>46281.02291666667</v>
      </c>
      <c r="B53" t="inlineStr">
        <is>
          <t>I expect it</t>
        </is>
      </c>
      <c r="C53" t="inlineStr">
        <is>
          <t>I dislike it</t>
        </is>
      </c>
      <c r="D53" t="inlineStr">
        <is>
          <t>I like it</t>
        </is>
      </c>
      <c r="E53" t="inlineStr">
        <is>
          <t>I dislike it</t>
        </is>
      </c>
      <c r="F53" t="inlineStr">
        <is>
          <t>I'm neutral</t>
        </is>
      </c>
      <c r="G53" t="inlineStr">
        <is>
          <t>I'm neutral</t>
        </is>
      </c>
      <c r="H53" t="inlineStr">
        <is>
          <t>I expect it</t>
        </is>
      </c>
      <c r="I53" t="inlineStr">
        <is>
          <t>I dislike it</t>
        </is>
      </c>
      <c r="J53" t="inlineStr">
        <is>
          <t>I'm neutral</t>
        </is>
      </c>
      <c r="K53" t="inlineStr">
        <is>
          <t>I like it</t>
        </is>
      </c>
      <c r="L53" t="inlineStr">
        <is>
          <t>I dislike it</t>
        </is>
      </c>
      <c r="M53" t="inlineStr">
        <is>
          <t>I'm neutral</t>
        </is>
      </c>
    </row>
    <row r="54">
      <c r="A54" s="18" t="n">
        <v>46281.04166666666</v>
      </c>
      <c r="B54" t="inlineStr">
        <is>
          <t>I'm neutral</t>
        </is>
      </c>
      <c r="C54" t="inlineStr">
        <is>
          <t>I'm neutral</t>
        </is>
      </c>
      <c r="D54" t="inlineStr">
        <is>
          <t>I can tolerate it</t>
        </is>
      </c>
      <c r="E54" t="inlineStr">
        <is>
          <t>I'm neutral</t>
        </is>
      </c>
      <c r="F54" t="inlineStr">
        <is>
          <t>I'm neutral</t>
        </is>
      </c>
      <c r="G54" t="inlineStr">
        <is>
          <t>I'm neutral</t>
        </is>
      </c>
      <c r="H54" t="inlineStr">
        <is>
          <t>I'm neutral</t>
        </is>
      </c>
      <c r="I54" t="inlineStr">
        <is>
          <t>I'm neutral</t>
        </is>
      </c>
      <c r="J54" t="inlineStr">
        <is>
          <t>I like it</t>
        </is>
      </c>
      <c r="K54" t="inlineStr">
        <is>
          <t>I dislike it</t>
        </is>
      </c>
      <c r="L54" t="inlineStr">
        <is>
          <t>I'm neutral</t>
        </is>
      </c>
      <c r="M54" t="inlineStr">
        <is>
          <t>I'm neutral</t>
        </is>
      </c>
    </row>
    <row r="55">
      <c r="A55" s="18" t="n">
        <v>46281.07638888889</v>
      </c>
      <c r="B55" t="inlineStr">
        <is>
          <t>I like it</t>
        </is>
      </c>
      <c r="C55" t="inlineStr">
        <is>
          <t>I can tolerate it</t>
        </is>
      </c>
      <c r="D55" t="inlineStr">
        <is>
          <t>I like it</t>
        </is>
      </c>
      <c r="E55" t="inlineStr">
        <is>
          <t>I dislike it</t>
        </is>
      </c>
      <c r="F55" t="inlineStr">
        <is>
          <t>I like it</t>
        </is>
      </c>
      <c r="G55" t="inlineStr">
        <is>
          <t>I'm neutral</t>
        </is>
      </c>
      <c r="H55" t="inlineStr">
        <is>
          <t>I'm neutral</t>
        </is>
      </c>
      <c r="I55" t="inlineStr">
        <is>
          <t>I dislike it</t>
        </is>
      </c>
      <c r="J55" t="inlineStr">
        <is>
          <t>I'm neutral</t>
        </is>
      </c>
      <c r="K55" t="inlineStr">
        <is>
          <t>I'm neutral</t>
        </is>
      </c>
      <c r="L55" t="inlineStr">
        <is>
          <t>I dislike it</t>
        </is>
      </c>
      <c r="M55" t="inlineStr">
        <is>
          <t>I can tolerate it</t>
        </is>
      </c>
    </row>
    <row r="56">
      <c r="A56" s="18" t="n">
        <v>46281.08680555555</v>
      </c>
      <c r="B56" t="inlineStr">
        <is>
          <t>I like it</t>
        </is>
      </c>
      <c r="C56" t="inlineStr">
        <is>
          <t>I can tolerate it</t>
        </is>
      </c>
      <c r="D56" t="inlineStr">
        <is>
          <t>I like it</t>
        </is>
      </c>
      <c r="E56" t="inlineStr">
        <is>
          <t>I dislike it</t>
        </is>
      </c>
      <c r="F56" t="inlineStr">
        <is>
          <t>I like it</t>
        </is>
      </c>
      <c r="G56" t="inlineStr">
        <is>
          <t>I can tolerate it</t>
        </is>
      </c>
      <c r="H56" t="inlineStr">
        <is>
          <t>I dislike it</t>
        </is>
      </c>
      <c r="I56" t="inlineStr">
        <is>
          <t>I'm neutral</t>
        </is>
      </c>
      <c r="J56" t="inlineStr">
        <is>
          <t>I can tolerate it</t>
        </is>
      </c>
      <c r="K56" t="inlineStr">
        <is>
          <t>I dislike it</t>
        </is>
      </c>
      <c r="L56" t="inlineStr">
        <is>
          <t>I'm neutral</t>
        </is>
      </c>
      <c r="M56" t="inlineStr">
        <is>
          <t>I like it</t>
        </is>
      </c>
    </row>
    <row r="57">
      <c r="A57" s="18" t="n">
        <v>46281.1375</v>
      </c>
      <c r="B57" t="inlineStr">
        <is>
          <t>I like it</t>
        </is>
      </c>
      <c r="C57" t="inlineStr">
        <is>
          <t>I'm neutral</t>
        </is>
      </c>
      <c r="D57" t="inlineStr">
        <is>
          <t>I like it</t>
        </is>
      </c>
      <c r="E57" t="inlineStr">
        <is>
          <t>I dislike it</t>
        </is>
      </c>
      <c r="F57" t="inlineStr">
        <is>
          <t>I like it</t>
        </is>
      </c>
      <c r="G57" t="inlineStr">
        <is>
          <t>I'm neutral</t>
        </is>
      </c>
      <c r="H57" t="inlineStr">
        <is>
          <t>I like it</t>
        </is>
      </c>
      <c r="I57" t="inlineStr">
        <is>
          <t>I'm neutral</t>
        </is>
      </c>
      <c r="J57" t="inlineStr">
        <is>
          <t>I'm neutral</t>
        </is>
      </c>
      <c r="K57" t="inlineStr">
        <is>
          <t>I'm neutral</t>
        </is>
      </c>
      <c r="L57" t="inlineStr">
        <is>
          <t>I like it</t>
        </is>
      </c>
      <c r="M57" t="inlineStr">
        <is>
          <t>I expect it</t>
        </is>
      </c>
    </row>
    <row r="58">
      <c r="A58" s="18" t="n">
        <v>46281.20277777778</v>
      </c>
      <c r="B58" t="inlineStr">
        <is>
          <t>I'm neutral</t>
        </is>
      </c>
      <c r="C58" t="inlineStr">
        <is>
          <t>I dislike it</t>
        </is>
      </c>
      <c r="D58" t="inlineStr">
        <is>
          <t>I like it</t>
        </is>
      </c>
      <c r="E58" t="inlineStr">
        <is>
          <t>I dislike it</t>
        </is>
      </c>
      <c r="F58" t="inlineStr">
        <is>
          <t>I like it</t>
        </is>
      </c>
      <c r="G58" t="inlineStr">
        <is>
          <t>I dislike it</t>
        </is>
      </c>
      <c r="H58" t="inlineStr">
        <is>
          <t>I like it</t>
        </is>
      </c>
      <c r="I58" t="inlineStr">
        <is>
          <t>I'm neutral</t>
        </is>
      </c>
      <c r="J58" t="inlineStr">
        <is>
          <t>I like it</t>
        </is>
      </c>
      <c r="K58" t="inlineStr">
        <is>
          <t>I expect it</t>
        </is>
      </c>
      <c r="L58" t="inlineStr">
        <is>
          <t>I like it</t>
        </is>
      </c>
      <c r="M58" t="inlineStr">
        <is>
          <t>I expect it</t>
        </is>
      </c>
    </row>
    <row r="59">
      <c r="A59" s="18" t="n">
        <v>46281.21041666667</v>
      </c>
      <c r="B59" t="inlineStr">
        <is>
          <t>I can tolerate it</t>
        </is>
      </c>
      <c r="C59" t="inlineStr">
        <is>
          <t>I can tolerate it</t>
        </is>
      </c>
      <c r="D59" t="inlineStr">
        <is>
          <t>I like it</t>
        </is>
      </c>
      <c r="E59" t="inlineStr">
        <is>
          <t>I dislike it</t>
        </is>
      </c>
      <c r="F59" t="inlineStr">
        <is>
          <t>I'm neutral</t>
        </is>
      </c>
      <c r="G59" t="inlineStr">
        <is>
          <t>I can tolerate it</t>
        </is>
      </c>
      <c r="H59" t="inlineStr">
        <is>
          <t>I can tolerate it</t>
        </is>
      </c>
      <c r="I59" t="inlineStr">
        <is>
          <t>I like it</t>
        </is>
      </c>
      <c r="J59" t="inlineStr">
        <is>
          <t>I like it</t>
        </is>
      </c>
      <c r="K59" t="inlineStr">
        <is>
          <t>I'm neutral</t>
        </is>
      </c>
      <c r="L59" t="inlineStr">
        <is>
          <t>I like it</t>
        </is>
      </c>
      <c r="M59" t="inlineStr">
        <is>
          <t>I dislike it</t>
        </is>
      </c>
    </row>
    <row r="60">
      <c r="A60" s="18" t="n">
        <v>46281.2625</v>
      </c>
      <c r="B60" t="inlineStr">
        <is>
          <t>I like it</t>
        </is>
      </c>
      <c r="C60" t="inlineStr">
        <is>
          <t>I dislike it</t>
        </is>
      </c>
      <c r="D60" t="inlineStr">
        <is>
          <t>I expect it</t>
        </is>
      </c>
      <c r="E60" t="inlineStr">
        <is>
          <t>I dislike it</t>
        </is>
      </c>
      <c r="F60" t="inlineStr">
        <is>
          <t>I'm neutral</t>
        </is>
      </c>
      <c r="G60" t="inlineStr">
        <is>
          <t>I'm neutral</t>
        </is>
      </c>
      <c r="H60" t="inlineStr">
        <is>
          <t>I like it</t>
        </is>
      </c>
      <c r="I60" t="inlineStr">
        <is>
          <t>I'm neutral</t>
        </is>
      </c>
      <c r="J60" t="inlineStr">
        <is>
          <t>I like it</t>
        </is>
      </c>
      <c r="K60" t="inlineStr">
        <is>
          <t>I can tolerate it</t>
        </is>
      </c>
      <c r="L60" t="inlineStr">
        <is>
          <t>I dislike it</t>
        </is>
      </c>
      <c r="M60" t="inlineStr">
        <is>
          <t>I'm neutral</t>
        </is>
      </c>
    </row>
    <row r="61">
      <c r="A61" s="18" t="n">
        <v>46281.26944444444</v>
      </c>
      <c r="B61" t="inlineStr">
        <is>
          <t>I like it</t>
        </is>
      </c>
      <c r="C61" t="inlineStr">
        <is>
          <t>I dislike it</t>
        </is>
      </c>
      <c r="D61" t="inlineStr">
        <is>
          <t>I like it</t>
        </is>
      </c>
      <c r="E61" t="inlineStr">
        <is>
          <t>I dislike it</t>
        </is>
      </c>
      <c r="F61" t="inlineStr">
        <is>
          <t>I like it</t>
        </is>
      </c>
      <c r="G61" t="inlineStr">
        <is>
          <t>I dislike it</t>
        </is>
      </c>
      <c r="H61" t="inlineStr">
        <is>
          <t>I'm neutral</t>
        </is>
      </c>
      <c r="I61" t="inlineStr">
        <is>
          <t>I'm neutral</t>
        </is>
      </c>
      <c r="J61" t="inlineStr">
        <is>
          <t>I dislike it</t>
        </is>
      </c>
      <c r="K61" t="inlineStr">
        <is>
          <t>I can tolerate it</t>
        </is>
      </c>
      <c r="L61" t="inlineStr">
        <is>
          <t>I dislike it</t>
        </is>
      </c>
      <c r="M61" t="inlineStr">
        <is>
          <t>I can tolerate it</t>
        </is>
      </c>
    </row>
    <row r="62">
      <c r="A62" s="18" t="n">
        <v>46281.32638888889</v>
      </c>
      <c r="B62" t="inlineStr">
        <is>
          <t>I can tolerate it</t>
        </is>
      </c>
      <c r="C62" t="inlineStr">
        <is>
          <t>I dislike it</t>
        </is>
      </c>
      <c r="D62" t="inlineStr">
        <is>
          <t>I expect it</t>
        </is>
      </c>
      <c r="E62" t="inlineStr">
        <is>
          <t>I dislike it</t>
        </is>
      </c>
      <c r="F62" t="inlineStr">
        <is>
          <t>I like it</t>
        </is>
      </c>
      <c r="G62" t="inlineStr">
        <is>
          <t>I'm neutral</t>
        </is>
      </c>
      <c r="H62" t="inlineStr">
        <is>
          <t>I can tolerate it</t>
        </is>
      </c>
      <c r="I62" t="inlineStr">
        <is>
          <t>I can tolerate it</t>
        </is>
      </c>
      <c r="J62" t="inlineStr">
        <is>
          <t>I'm neutral</t>
        </is>
      </c>
      <c r="K62" t="inlineStr">
        <is>
          <t>I can tolerate it</t>
        </is>
      </c>
      <c r="L62" t="inlineStr">
        <is>
          <t>I can tolerate it</t>
        </is>
      </c>
      <c r="M62" t="inlineStr">
        <is>
          <t>I'm neutral</t>
        </is>
      </c>
    </row>
    <row r="63">
      <c r="A63" s="18" t="n">
        <v>46281.34652777778</v>
      </c>
      <c r="B63" t="inlineStr">
        <is>
          <t>I can tolerate it</t>
        </is>
      </c>
      <c r="C63" t="inlineStr">
        <is>
          <t>I dislike it</t>
        </is>
      </c>
      <c r="D63" t="inlineStr">
        <is>
          <t>I like it</t>
        </is>
      </c>
      <c r="E63" t="inlineStr">
        <is>
          <t>I'm neutral</t>
        </is>
      </c>
      <c r="F63" t="inlineStr">
        <is>
          <t>I can tolerate it</t>
        </is>
      </c>
      <c r="G63" t="inlineStr">
        <is>
          <t>I'm neutral</t>
        </is>
      </c>
      <c r="H63" t="inlineStr">
        <is>
          <t>I like it</t>
        </is>
      </c>
      <c r="I63" t="inlineStr">
        <is>
          <t>I dislike it</t>
        </is>
      </c>
      <c r="J63" t="inlineStr">
        <is>
          <t>I like it</t>
        </is>
      </c>
      <c r="K63" t="inlineStr">
        <is>
          <t>I dislike it</t>
        </is>
      </c>
      <c r="L63" t="inlineStr">
        <is>
          <t>I dislike it</t>
        </is>
      </c>
      <c r="M63" t="inlineStr">
        <is>
          <t>I can tolerate it</t>
        </is>
      </c>
    </row>
    <row r="64">
      <c r="A64" s="18" t="n">
        <v>46281.39236111111</v>
      </c>
      <c r="B64" t="inlineStr">
        <is>
          <t>I can tolerate it</t>
        </is>
      </c>
      <c r="C64" t="inlineStr">
        <is>
          <t>I dislike it</t>
        </is>
      </c>
      <c r="D64" t="inlineStr">
        <is>
          <t>I expect it</t>
        </is>
      </c>
      <c r="E64" t="inlineStr">
        <is>
          <t>I dislike it</t>
        </is>
      </c>
      <c r="F64" t="inlineStr">
        <is>
          <t>I like it</t>
        </is>
      </c>
      <c r="G64" t="inlineStr">
        <is>
          <t>I'm neutral</t>
        </is>
      </c>
      <c r="H64" t="inlineStr">
        <is>
          <t>I'm neutral</t>
        </is>
      </c>
      <c r="I64" t="inlineStr">
        <is>
          <t>I'm neutral</t>
        </is>
      </c>
      <c r="J64" t="inlineStr">
        <is>
          <t>I can tolerate it</t>
        </is>
      </c>
      <c r="K64" t="inlineStr">
        <is>
          <t>I can tolerate it</t>
        </is>
      </c>
      <c r="L64" t="inlineStr">
        <is>
          <t>I like it</t>
        </is>
      </c>
      <c r="M64" t="inlineStr">
        <is>
          <t>I'm neutral</t>
        </is>
      </c>
    </row>
    <row r="65">
      <c r="A65" s="18" t="n">
        <v>46281.45486111111</v>
      </c>
      <c r="B65" t="inlineStr">
        <is>
          <t>I'm neutral</t>
        </is>
      </c>
      <c r="C65" t="inlineStr">
        <is>
          <t>I dislike it</t>
        </is>
      </c>
      <c r="D65" t="inlineStr">
        <is>
          <t>I expect it</t>
        </is>
      </c>
      <c r="E65" t="inlineStr">
        <is>
          <t>I dislike it</t>
        </is>
      </c>
      <c r="F65" t="inlineStr">
        <is>
          <t>I'm neutral</t>
        </is>
      </c>
      <c r="G65" t="inlineStr">
        <is>
          <t>I'm neutral</t>
        </is>
      </c>
      <c r="H65" t="inlineStr">
        <is>
          <t>I'm neutral</t>
        </is>
      </c>
      <c r="I65" t="inlineStr">
        <is>
          <t>I'm neutral</t>
        </is>
      </c>
      <c r="J65" t="inlineStr">
        <is>
          <t>I like it</t>
        </is>
      </c>
      <c r="K65" t="inlineStr">
        <is>
          <t>I'm neutral</t>
        </is>
      </c>
      <c r="L65" t="inlineStr">
        <is>
          <t>I like it</t>
        </is>
      </c>
      <c r="M65" t="inlineStr">
        <is>
          <t>I'm neutral</t>
        </is>
      </c>
    </row>
    <row r="66">
      <c r="A66" s="18" t="n">
        <v>46281.50416666667</v>
      </c>
      <c r="B66" t="inlineStr">
        <is>
          <t>I'm neutral</t>
        </is>
      </c>
      <c r="C66" t="inlineStr">
        <is>
          <t>I dislike it</t>
        </is>
      </c>
      <c r="D66" t="inlineStr">
        <is>
          <t>I like it</t>
        </is>
      </c>
      <c r="E66" t="inlineStr">
        <is>
          <t>I dislike it</t>
        </is>
      </c>
      <c r="F66" t="inlineStr">
        <is>
          <t>I expect it</t>
        </is>
      </c>
      <c r="G66" t="inlineStr">
        <is>
          <t>I expect it</t>
        </is>
      </c>
      <c r="H66" t="inlineStr">
        <is>
          <t>I expect it</t>
        </is>
      </c>
      <c r="I66" t="inlineStr">
        <is>
          <t>I dislike it</t>
        </is>
      </c>
      <c r="J66" t="inlineStr">
        <is>
          <t>I like it</t>
        </is>
      </c>
      <c r="K66" t="inlineStr">
        <is>
          <t>I'm neutral</t>
        </is>
      </c>
      <c r="L66" t="inlineStr">
        <is>
          <t>I'm neutral</t>
        </is>
      </c>
      <c r="M66" t="inlineStr">
        <is>
          <t>I like it</t>
        </is>
      </c>
    </row>
    <row r="67">
      <c r="A67" s="18" t="n">
        <v>46281.54375</v>
      </c>
      <c r="B67" t="inlineStr">
        <is>
          <t>I expect it</t>
        </is>
      </c>
      <c r="C67" t="inlineStr">
        <is>
          <t>I dislike it</t>
        </is>
      </c>
      <c r="D67" t="inlineStr">
        <is>
          <t>I like it</t>
        </is>
      </c>
      <c r="E67" t="inlineStr">
        <is>
          <t>I can tolerate it</t>
        </is>
      </c>
      <c r="F67" t="inlineStr">
        <is>
          <t>I like it</t>
        </is>
      </c>
      <c r="G67" t="inlineStr">
        <is>
          <t>I'm neutral</t>
        </is>
      </c>
      <c r="H67" t="inlineStr">
        <is>
          <t>I like it</t>
        </is>
      </c>
      <c r="I67" t="inlineStr">
        <is>
          <t>I dislike it</t>
        </is>
      </c>
      <c r="J67" t="inlineStr">
        <is>
          <t>I expect it</t>
        </is>
      </c>
      <c r="K67" t="inlineStr">
        <is>
          <t>I'm neutral</t>
        </is>
      </c>
      <c r="L67" t="inlineStr">
        <is>
          <t>I dislike it</t>
        </is>
      </c>
      <c r="M67" t="inlineStr">
        <is>
          <t>I'm neutral</t>
        </is>
      </c>
    </row>
    <row r="68">
      <c r="A68" s="18" t="n">
        <v>46281.57361111111</v>
      </c>
      <c r="B68" t="inlineStr">
        <is>
          <t>I like it</t>
        </is>
      </c>
      <c r="C68" t="inlineStr">
        <is>
          <t>I dislike it</t>
        </is>
      </c>
      <c r="D68" t="inlineStr">
        <is>
          <t>I like it</t>
        </is>
      </c>
      <c r="E68" t="inlineStr">
        <is>
          <t>I dislike it</t>
        </is>
      </c>
      <c r="F68" t="inlineStr">
        <is>
          <t>I like it</t>
        </is>
      </c>
      <c r="G68" t="inlineStr">
        <is>
          <t>I dislike it</t>
        </is>
      </c>
      <c r="H68" t="inlineStr">
        <is>
          <t>I'm neutral</t>
        </is>
      </c>
      <c r="I68" t="inlineStr">
        <is>
          <t>I can tolerate it</t>
        </is>
      </c>
      <c r="J68" t="inlineStr">
        <is>
          <t>I'm neutral</t>
        </is>
      </c>
      <c r="K68" t="inlineStr">
        <is>
          <t>I'm neutral</t>
        </is>
      </c>
      <c r="L68" t="inlineStr">
        <is>
          <t>I like it</t>
        </is>
      </c>
      <c r="M68" t="inlineStr">
        <is>
          <t>I'm neutral</t>
        </is>
      </c>
    </row>
    <row r="69">
      <c r="A69" s="18" t="n">
        <v>46281.61666666667</v>
      </c>
      <c r="B69" t="inlineStr">
        <is>
          <t>I can tolerate it</t>
        </is>
      </c>
      <c r="C69" t="inlineStr">
        <is>
          <t>I dislike it</t>
        </is>
      </c>
      <c r="D69" t="inlineStr">
        <is>
          <t>I'm neutral</t>
        </is>
      </c>
      <c r="E69" t="inlineStr">
        <is>
          <t>I'm neutral</t>
        </is>
      </c>
      <c r="F69" t="inlineStr">
        <is>
          <t>I'm neutral</t>
        </is>
      </c>
      <c r="G69" t="inlineStr">
        <is>
          <t>I'm neutral</t>
        </is>
      </c>
      <c r="H69" t="inlineStr">
        <is>
          <t>I like it</t>
        </is>
      </c>
      <c r="I69" t="inlineStr">
        <is>
          <t>I expect it</t>
        </is>
      </c>
      <c r="J69" t="inlineStr">
        <is>
          <t>I like it</t>
        </is>
      </c>
      <c r="K69" t="inlineStr">
        <is>
          <t>I can tolerate it</t>
        </is>
      </c>
      <c r="L69" t="inlineStr">
        <is>
          <t>I like it</t>
        </is>
      </c>
      <c r="M69" t="inlineStr">
        <is>
          <t>I can tolerate it</t>
        </is>
      </c>
    </row>
    <row r="70">
      <c r="A70" s="18" t="n">
        <v>46281.67013888889</v>
      </c>
      <c r="B70" t="inlineStr">
        <is>
          <t>I expect it</t>
        </is>
      </c>
      <c r="C70" t="inlineStr">
        <is>
          <t>I dislike it</t>
        </is>
      </c>
      <c r="D70" t="inlineStr">
        <is>
          <t>I like it</t>
        </is>
      </c>
      <c r="E70" t="inlineStr">
        <is>
          <t>I dislike it</t>
        </is>
      </c>
      <c r="F70" t="inlineStr">
        <is>
          <t>I'm neutral</t>
        </is>
      </c>
      <c r="G70" t="inlineStr">
        <is>
          <t>I like it</t>
        </is>
      </c>
      <c r="H70" t="inlineStr">
        <is>
          <t>I'm neutral</t>
        </is>
      </c>
      <c r="I70" t="inlineStr">
        <is>
          <t>I'm neutral</t>
        </is>
      </c>
      <c r="J70" t="inlineStr">
        <is>
          <t>I can tolerate it</t>
        </is>
      </c>
      <c r="K70" t="inlineStr">
        <is>
          <t>I'm neutral</t>
        </is>
      </c>
      <c r="L70" t="inlineStr">
        <is>
          <t>I dislike it</t>
        </is>
      </c>
      <c r="M70" t="inlineStr">
        <is>
          <t>I can tolerate it</t>
        </is>
      </c>
    </row>
    <row r="71">
      <c r="A71" s="18" t="n">
        <v>46281.7125</v>
      </c>
      <c r="B71" t="inlineStr">
        <is>
          <t>I can tolerate it</t>
        </is>
      </c>
      <c r="C71" t="inlineStr">
        <is>
          <t>I dislike it</t>
        </is>
      </c>
      <c r="D71" t="inlineStr">
        <is>
          <t>I'm neutral</t>
        </is>
      </c>
      <c r="E71" t="inlineStr">
        <is>
          <t>I dislike it</t>
        </is>
      </c>
      <c r="F71" t="inlineStr">
        <is>
          <t>I like it</t>
        </is>
      </c>
      <c r="G71" t="inlineStr">
        <is>
          <t>I expect it</t>
        </is>
      </c>
      <c r="H71" t="inlineStr">
        <is>
          <t>I like it</t>
        </is>
      </c>
      <c r="I71" t="inlineStr">
        <is>
          <t>I dislike it</t>
        </is>
      </c>
      <c r="J71" t="inlineStr">
        <is>
          <t>I like it</t>
        </is>
      </c>
      <c r="K71" t="inlineStr">
        <is>
          <t>I'm neutral</t>
        </is>
      </c>
      <c r="L71" t="inlineStr">
        <is>
          <t>I'm neutral</t>
        </is>
      </c>
      <c r="M71" t="inlineStr">
        <is>
          <t>I'm neutral</t>
        </is>
      </c>
    </row>
    <row r="72">
      <c r="A72" s="18" t="n">
        <v>46281.74652777778</v>
      </c>
      <c r="B72" t="inlineStr">
        <is>
          <t>I can tolerate it</t>
        </is>
      </c>
      <c r="C72" t="inlineStr">
        <is>
          <t>I dislike it</t>
        </is>
      </c>
      <c r="D72" t="inlineStr">
        <is>
          <t>I like it</t>
        </is>
      </c>
      <c r="E72" t="inlineStr">
        <is>
          <t>I'm neutral</t>
        </is>
      </c>
      <c r="F72" t="inlineStr">
        <is>
          <t>I like it</t>
        </is>
      </c>
      <c r="G72" t="inlineStr">
        <is>
          <t>I dislike it</t>
        </is>
      </c>
      <c r="H72" t="inlineStr">
        <is>
          <t>I like it</t>
        </is>
      </c>
      <c r="I72" t="inlineStr">
        <is>
          <t>I'm neutral</t>
        </is>
      </c>
      <c r="J72" t="inlineStr">
        <is>
          <t>I'm neutral</t>
        </is>
      </c>
      <c r="K72" t="inlineStr">
        <is>
          <t>I'm neutral</t>
        </is>
      </c>
      <c r="L72" t="inlineStr">
        <is>
          <t>I'm neutral</t>
        </is>
      </c>
      <c r="M72" t="inlineStr">
        <is>
          <t>I'm neutral</t>
        </is>
      </c>
    </row>
    <row r="73">
      <c r="A73" s="18" t="n">
        <v>46281.775</v>
      </c>
      <c r="B73" t="inlineStr">
        <is>
          <t>I like it</t>
        </is>
      </c>
      <c r="C73" t="inlineStr">
        <is>
          <t>I dislike it</t>
        </is>
      </c>
      <c r="D73" t="inlineStr">
        <is>
          <t>I like it</t>
        </is>
      </c>
      <c r="E73" t="inlineStr">
        <is>
          <t>I'm neutral</t>
        </is>
      </c>
      <c r="F73" t="inlineStr">
        <is>
          <t>I like it</t>
        </is>
      </c>
      <c r="G73" t="inlineStr">
        <is>
          <t>I'm neutral</t>
        </is>
      </c>
      <c r="H73" t="inlineStr">
        <is>
          <t>I can tolerate it</t>
        </is>
      </c>
      <c r="I73" t="inlineStr">
        <is>
          <t>I can tolerate it</t>
        </is>
      </c>
      <c r="J73" t="inlineStr">
        <is>
          <t>I'm neutral</t>
        </is>
      </c>
      <c r="K73" t="inlineStr">
        <is>
          <t>I can tolerate it</t>
        </is>
      </c>
      <c r="L73" t="inlineStr">
        <is>
          <t>I expect it</t>
        </is>
      </c>
      <c r="M73" t="inlineStr">
        <is>
          <t>I dislike it</t>
        </is>
      </c>
    </row>
    <row r="74">
      <c r="A74" s="18" t="n">
        <v>46281.79861111111</v>
      </c>
      <c r="B74" t="inlineStr">
        <is>
          <t>I'm neutral</t>
        </is>
      </c>
      <c r="C74" t="inlineStr">
        <is>
          <t>I dislike it</t>
        </is>
      </c>
      <c r="D74" t="inlineStr">
        <is>
          <t>I like it</t>
        </is>
      </c>
      <c r="E74" t="inlineStr">
        <is>
          <t>I'm neutral</t>
        </is>
      </c>
      <c r="F74" t="inlineStr">
        <is>
          <t>I like it</t>
        </is>
      </c>
      <c r="G74" t="inlineStr">
        <is>
          <t>I dislike it</t>
        </is>
      </c>
      <c r="H74" t="inlineStr">
        <is>
          <t>I like it</t>
        </is>
      </c>
      <c r="I74" t="inlineStr">
        <is>
          <t>I dislike it</t>
        </is>
      </c>
      <c r="J74" t="inlineStr">
        <is>
          <t>I like it</t>
        </is>
      </c>
      <c r="K74" t="inlineStr">
        <is>
          <t>I dislike it</t>
        </is>
      </c>
      <c r="L74" t="inlineStr">
        <is>
          <t>I'm neutral</t>
        </is>
      </c>
      <c r="M74" t="inlineStr">
        <is>
          <t>I can tolerate it</t>
        </is>
      </c>
    </row>
    <row r="75">
      <c r="A75" s="18" t="n">
        <v>46281.81666666667</v>
      </c>
      <c r="B75" t="inlineStr">
        <is>
          <t>I'm neutral</t>
        </is>
      </c>
      <c r="C75" t="inlineStr">
        <is>
          <t>I dislike it</t>
        </is>
      </c>
      <c r="D75" t="inlineStr">
        <is>
          <t>I can tolerate it</t>
        </is>
      </c>
      <c r="E75" t="inlineStr">
        <is>
          <t>I can tolerate it</t>
        </is>
      </c>
      <c r="F75" t="inlineStr">
        <is>
          <t>I'm neutral</t>
        </is>
      </c>
      <c r="G75" t="inlineStr">
        <is>
          <t>I'm neutral</t>
        </is>
      </c>
      <c r="H75" t="inlineStr">
        <is>
          <t>I expect it</t>
        </is>
      </c>
      <c r="I75" t="inlineStr">
        <is>
          <t>I dislike it</t>
        </is>
      </c>
      <c r="J75" t="inlineStr">
        <is>
          <t>I'm neutral</t>
        </is>
      </c>
      <c r="K75" t="inlineStr">
        <is>
          <t>I'm neutral</t>
        </is>
      </c>
      <c r="L75" t="inlineStr">
        <is>
          <t>I dislike it</t>
        </is>
      </c>
      <c r="M75" t="inlineStr">
        <is>
          <t>I'm neutral</t>
        </is>
      </c>
    </row>
    <row r="76">
      <c r="A76" s="18" t="n">
        <v>46281.88055555556</v>
      </c>
      <c r="B76" t="inlineStr">
        <is>
          <t>I like it</t>
        </is>
      </c>
      <c r="C76" t="inlineStr">
        <is>
          <t>I dislike it</t>
        </is>
      </c>
      <c r="D76" t="inlineStr">
        <is>
          <t>I'm neutral</t>
        </is>
      </c>
      <c r="E76" t="inlineStr">
        <is>
          <t>I'm neutral</t>
        </is>
      </c>
      <c r="F76" t="inlineStr">
        <is>
          <t>I like it</t>
        </is>
      </c>
      <c r="G76" t="inlineStr">
        <is>
          <t>I dislike it</t>
        </is>
      </c>
      <c r="H76" t="inlineStr">
        <is>
          <t>I like it</t>
        </is>
      </c>
      <c r="I76" t="inlineStr">
        <is>
          <t>I can tolerate it</t>
        </is>
      </c>
      <c r="J76" t="inlineStr">
        <is>
          <t>I like it</t>
        </is>
      </c>
      <c r="K76" t="inlineStr">
        <is>
          <t>I'm neutral</t>
        </is>
      </c>
      <c r="L76" t="inlineStr">
        <is>
          <t>I can tolerate it</t>
        </is>
      </c>
      <c r="M76" t="inlineStr">
        <is>
          <t>I'm neutral</t>
        </is>
      </c>
    </row>
    <row r="77">
      <c r="A77" s="18" t="n">
        <v>46281.90416666667</v>
      </c>
      <c r="B77" t="inlineStr">
        <is>
          <t>I expect it</t>
        </is>
      </c>
      <c r="C77" t="inlineStr">
        <is>
          <t>I dislike it</t>
        </is>
      </c>
      <c r="D77" t="inlineStr">
        <is>
          <t>I like it</t>
        </is>
      </c>
      <c r="E77" t="inlineStr">
        <is>
          <t>I dislike it</t>
        </is>
      </c>
      <c r="F77" t="inlineStr">
        <is>
          <t>I'm neutral</t>
        </is>
      </c>
      <c r="G77" t="inlineStr">
        <is>
          <t>I dislike it</t>
        </is>
      </c>
      <c r="H77" t="inlineStr">
        <is>
          <t>I'm neutral</t>
        </is>
      </c>
      <c r="I77" t="inlineStr">
        <is>
          <t>I'm neutral</t>
        </is>
      </c>
      <c r="J77" t="inlineStr">
        <is>
          <t>I'm neutral</t>
        </is>
      </c>
      <c r="K77" t="inlineStr">
        <is>
          <t>I'm neutral</t>
        </is>
      </c>
      <c r="L77" t="inlineStr">
        <is>
          <t>I can tolerate it</t>
        </is>
      </c>
      <c r="M77" t="inlineStr">
        <is>
          <t>I can tolerate it</t>
        </is>
      </c>
    </row>
    <row r="78">
      <c r="A78" s="18" t="n">
        <v>46281.91319444445</v>
      </c>
      <c r="B78" t="inlineStr">
        <is>
          <t>I expect it</t>
        </is>
      </c>
      <c r="C78" t="inlineStr">
        <is>
          <t>I dislike it</t>
        </is>
      </c>
      <c r="D78" t="inlineStr">
        <is>
          <t>I like it</t>
        </is>
      </c>
      <c r="E78" t="inlineStr">
        <is>
          <t>I dislike it</t>
        </is>
      </c>
      <c r="F78" t="inlineStr">
        <is>
          <t>I like it</t>
        </is>
      </c>
      <c r="G78" t="inlineStr">
        <is>
          <t>I can tolerate it</t>
        </is>
      </c>
      <c r="H78" t="inlineStr">
        <is>
          <t>I'm neutral</t>
        </is>
      </c>
      <c r="I78" t="inlineStr">
        <is>
          <t>I'm neutral</t>
        </is>
      </c>
      <c r="J78" t="inlineStr">
        <is>
          <t>I'm neutral</t>
        </is>
      </c>
      <c r="K78" t="inlineStr">
        <is>
          <t>I can tolerate it</t>
        </is>
      </c>
      <c r="L78" t="inlineStr">
        <is>
          <t>I'm neutral</t>
        </is>
      </c>
      <c r="M78" t="inlineStr">
        <is>
          <t>I'm neutral</t>
        </is>
      </c>
    </row>
    <row r="79">
      <c r="A79" s="18" t="n">
        <v>46281.96597222222</v>
      </c>
      <c r="B79" t="inlineStr">
        <is>
          <t>I'm neutral</t>
        </is>
      </c>
      <c r="C79" t="inlineStr">
        <is>
          <t>I dislike it</t>
        </is>
      </c>
      <c r="D79" t="inlineStr">
        <is>
          <t>I expect it</t>
        </is>
      </c>
      <c r="E79" t="inlineStr">
        <is>
          <t>I expect it</t>
        </is>
      </c>
      <c r="F79" t="inlineStr">
        <is>
          <t>I like it</t>
        </is>
      </c>
      <c r="G79" t="inlineStr">
        <is>
          <t>I dislike it</t>
        </is>
      </c>
      <c r="H79" t="inlineStr">
        <is>
          <t>I like it</t>
        </is>
      </c>
      <c r="I79" t="inlineStr">
        <is>
          <t>I'm neutral</t>
        </is>
      </c>
      <c r="J79" t="inlineStr">
        <is>
          <t>I expect it</t>
        </is>
      </c>
      <c r="K79" t="inlineStr">
        <is>
          <t>I'm neutral</t>
        </is>
      </c>
      <c r="L79" t="inlineStr">
        <is>
          <t>I like it</t>
        </is>
      </c>
      <c r="M79" t="inlineStr">
        <is>
          <t>I'm neutral</t>
        </is>
      </c>
    </row>
    <row r="80">
      <c r="A80" s="18" t="n">
        <v>46281.99444444444</v>
      </c>
      <c r="B80" t="inlineStr">
        <is>
          <t>I expect it</t>
        </is>
      </c>
      <c r="C80" t="inlineStr">
        <is>
          <t>I dislike it</t>
        </is>
      </c>
      <c r="D80" t="inlineStr">
        <is>
          <t>I like it</t>
        </is>
      </c>
      <c r="E80" t="inlineStr">
        <is>
          <t>I dislike it</t>
        </is>
      </c>
      <c r="F80" t="inlineStr">
        <is>
          <t>I like it</t>
        </is>
      </c>
      <c r="G80" t="inlineStr">
        <is>
          <t>I'm neutral</t>
        </is>
      </c>
      <c r="H80" t="inlineStr">
        <is>
          <t>I dislike it</t>
        </is>
      </c>
      <c r="I80" t="inlineStr">
        <is>
          <t>I can tolerate it</t>
        </is>
      </c>
      <c r="J80" t="inlineStr">
        <is>
          <t>I like it</t>
        </is>
      </c>
      <c r="K80" t="inlineStr">
        <is>
          <t>I can tolerate it</t>
        </is>
      </c>
      <c r="L80" t="inlineStr">
        <is>
          <t>I'm neutral</t>
        </is>
      </c>
      <c r="M80" t="inlineStr">
        <is>
          <t>I'm neutral</t>
        </is>
      </c>
    </row>
    <row r="81">
      <c r="A81" s="18" t="n">
        <v>46282.04305555556</v>
      </c>
      <c r="B81" t="inlineStr">
        <is>
          <t>I'm neutral</t>
        </is>
      </c>
      <c r="C81" t="inlineStr">
        <is>
          <t>I dislike it</t>
        </is>
      </c>
      <c r="D81" t="inlineStr">
        <is>
          <t>I like it</t>
        </is>
      </c>
      <c r="E81" t="inlineStr">
        <is>
          <t>I dislike it</t>
        </is>
      </c>
      <c r="F81" t="inlineStr">
        <is>
          <t>I'm neutral</t>
        </is>
      </c>
      <c r="G81" t="inlineStr">
        <is>
          <t>I'm neutral</t>
        </is>
      </c>
      <c r="H81" t="inlineStr">
        <is>
          <t>I like it</t>
        </is>
      </c>
      <c r="I81" t="inlineStr">
        <is>
          <t>I dislike it</t>
        </is>
      </c>
      <c r="J81" t="inlineStr">
        <is>
          <t>I'm neutral</t>
        </is>
      </c>
      <c r="K81" t="inlineStr">
        <is>
          <t>I'm neutral</t>
        </is>
      </c>
      <c r="L81" t="inlineStr">
        <is>
          <t>I'm neutral</t>
        </is>
      </c>
      <c r="M81" t="inlineStr">
        <is>
          <t>I like it</t>
        </is>
      </c>
    </row>
    <row r="82">
      <c r="A82" s="18" t="n">
        <v>46282.08888888889</v>
      </c>
      <c r="B82" t="inlineStr">
        <is>
          <t>I like it</t>
        </is>
      </c>
      <c r="C82" t="inlineStr">
        <is>
          <t>I'm neutral</t>
        </is>
      </c>
      <c r="D82" t="inlineStr">
        <is>
          <t>I like it</t>
        </is>
      </c>
      <c r="E82" t="inlineStr">
        <is>
          <t>I expect it</t>
        </is>
      </c>
      <c r="F82" t="inlineStr">
        <is>
          <t>I'm neutral</t>
        </is>
      </c>
      <c r="G82" t="inlineStr">
        <is>
          <t>I can tolerate it</t>
        </is>
      </c>
      <c r="H82" t="inlineStr">
        <is>
          <t>I like it</t>
        </is>
      </c>
      <c r="I82" t="inlineStr">
        <is>
          <t>I dislike it</t>
        </is>
      </c>
      <c r="J82" t="inlineStr">
        <is>
          <t>I'm neutral</t>
        </is>
      </c>
      <c r="K82" t="inlineStr">
        <is>
          <t>I'm neutral</t>
        </is>
      </c>
      <c r="L82" t="inlineStr">
        <is>
          <t>I like it</t>
        </is>
      </c>
      <c r="M82" t="inlineStr">
        <is>
          <t>I dislike it</t>
        </is>
      </c>
    </row>
    <row r="83">
      <c r="A83" s="18" t="n">
        <v>46282.12083333333</v>
      </c>
      <c r="B83" t="inlineStr">
        <is>
          <t>I like it</t>
        </is>
      </c>
      <c r="C83" t="inlineStr">
        <is>
          <t>I dislike it</t>
        </is>
      </c>
      <c r="D83" t="inlineStr">
        <is>
          <t>I'm neutral</t>
        </is>
      </c>
      <c r="E83" t="inlineStr">
        <is>
          <t>I dislike it</t>
        </is>
      </c>
      <c r="F83" t="inlineStr">
        <is>
          <t>I like it</t>
        </is>
      </c>
      <c r="G83" t="inlineStr">
        <is>
          <t>I'm neutral</t>
        </is>
      </c>
      <c r="H83" t="inlineStr">
        <is>
          <t>I'm neutral</t>
        </is>
      </c>
      <c r="I83" t="inlineStr">
        <is>
          <t>I'm neutral</t>
        </is>
      </c>
      <c r="J83" t="inlineStr">
        <is>
          <t>I like it</t>
        </is>
      </c>
      <c r="K83" t="inlineStr">
        <is>
          <t>I can tolerate it</t>
        </is>
      </c>
      <c r="L83" t="inlineStr">
        <is>
          <t>I dislike it</t>
        </is>
      </c>
      <c r="M83" t="inlineStr">
        <is>
          <t>I can tolerate it</t>
        </is>
      </c>
    </row>
    <row r="84">
      <c r="A84" s="18" t="n">
        <v>46282.1625</v>
      </c>
      <c r="B84" t="inlineStr">
        <is>
          <t>I like it</t>
        </is>
      </c>
      <c r="C84" t="inlineStr">
        <is>
          <t>I dislike it</t>
        </is>
      </c>
      <c r="D84" t="inlineStr">
        <is>
          <t>I'm neutral</t>
        </is>
      </c>
      <c r="E84" t="inlineStr">
        <is>
          <t>I'm neutral</t>
        </is>
      </c>
      <c r="F84" t="inlineStr">
        <is>
          <t>I'm neutral</t>
        </is>
      </c>
      <c r="G84" t="inlineStr">
        <is>
          <t>I can tolerate it</t>
        </is>
      </c>
      <c r="H84" t="inlineStr">
        <is>
          <t>I dislike it</t>
        </is>
      </c>
      <c r="I84" t="inlineStr">
        <is>
          <t>I can tolerate it</t>
        </is>
      </c>
      <c r="J84" t="inlineStr">
        <is>
          <t>I like it</t>
        </is>
      </c>
      <c r="K84" t="inlineStr">
        <is>
          <t>I dislike it</t>
        </is>
      </c>
      <c r="L84" t="inlineStr">
        <is>
          <t>I'm neutral</t>
        </is>
      </c>
      <c r="M84" t="inlineStr">
        <is>
          <t>I'm neutral</t>
        </is>
      </c>
    </row>
    <row r="85">
      <c r="A85" s="18" t="n">
        <v>46282.18958333333</v>
      </c>
      <c r="B85" t="inlineStr">
        <is>
          <t>I like it</t>
        </is>
      </c>
      <c r="C85" t="inlineStr">
        <is>
          <t>I dislike it</t>
        </is>
      </c>
      <c r="D85" t="inlineStr">
        <is>
          <t>I'm neutral</t>
        </is>
      </c>
      <c r="E85" t="inlineStr">
        <is>
          <t>I'm neutral</t>
        </is>
      </c>
      <c r="F85" t="inlineStr">
        <is>
          <t>I like it</t>
        </is>
      </c>
      <c r="G85" t="inlineStr">
        <is>
          <t>I'm neutral</t>
        </is>
      </c>
      <c r="H85" t="inlineStr">
        <is>
          <t>I expect it</t>
        </is>
      </c>
      <c r="I85" t="inlineStr">
        <is>
          <t>I dislike it</t>
        </is>
      </c>
      <c r="J85" t="inlineStr">
        <is>
          <t>I'm neutral</t>
        </is>
      </c>
      <c r="K85" t="inlineStr">
        <is>
          <t>I'm neutral</t>
        </is>
      </c>
      <c r="L85" t="inlineStr">
        <is>
          <t>I'm neutral</t>
        </is>
      </c>
      <c r="M85" t="inlineStr">
        <is>
          <t>I'm neutral</t>
        </is>
      </c>
    </row>
    <row r="86">
      <c r="A86" s="18" t="n">
        <v>46282.24513888889</v>
      </c>
      <c r="B86" t="inlineStr">
        <is>
          <t>I expect it</t>
        </is>
      </c>
      <c r="C86" t="inlineStr">
        <is>
          <t>I dislike it</t>
        </is>
      </c>
      <c r="D86" t="inlineStr">
        <is>
          <t>I'm neutral</t>
        </is>
      </c>
      <c r="E86" t="inlineStr">
        <is>
          <t>I can tolerate it</t>
        </is>
      </c>
      <c r="F86" t="inlineStr">
        <is>
          <t>I like it</t>
        </is>
      </c>
      <c r="G86" t="inlineStr">
        <is>
          <t>I'm neutral</t>
        </is>
      </c>
      <c r="H86" t="inlineStr">
        <is>
          <t>I like it</t>
        </is>
      </c>
      <c r="I86" t="inlineStr">
        <is>
          <t>I'm neutral</t>
        </is>
      </c>
      <c r="J86" t="inlineStr">
        <is>
          <t>I like it</t>
        </is>
      </c>
      <c r="K86" t="inlineStr">
        <is>
          <t>I dislike it</t>
        </is>
      </c>
      <c r="L86" t="inlineStr">
        <is>
          <t>I dislike it</t>
        </is>
      </c>
      <c r="M86" t="inlineStr">
        <is>
          <t>I'm neutral</t>
        </is>
      </c>
    </row>
    <row r="87">
      <c r="A87" s="18" t="n">
        <v>46282.25347222222</v>
      </c>
      <c r="B87" t="inlineStr">
        <is>
          <t>I expect it</t>
        </is>
      </c>
      <c r="C87" t="inlineStr">
        <is>
          <t>I dislike it</t>
        </is>
      </c>
      <c r="D87" t="inlineStr">
        <is>
          <t>I like it</t>
        </is>
      </c>
      <c r="E87" t="inlineStr">
        <is>
          <t>I dislike it</t>
        </is>
      </c>
      <c r="F87" t="inlineStr">
        <is>
          <t>I like it</t>
        </is>
      </c>
      <c r="G87" t="inlineStr">
        <is>
          <t>I'm neutral</t>
        </is>
      </c>
      <c r="H87" t="inlineStr">
        <is>
          <t>I like it</t>
        </is>
      </c>
      <c r="I87" t="inlineStr">
        <is>
          <t>I can tolerate it</t>
        </is>
      </c>
      <c r="J87" t="inlineStr">
        <is>
          <t>I'm neutral</t>
        </is>
      </c>
      <c r="K87" t="inlineStr">
        <is>
          <t>I'm neutral</t>
        </is>
      </c>
      <c r="L87" t="inlineStr">
        <is>
          <t>I like it</t>
        </is>
      </c>
      <c r="M87" t="inlineStr">
        <is>
          <t>I'm neutral</t>
        </is>
      </c>
    </row>
    <row r="88">
      <c r="A88" s="18" t="n">
        <v>46282.26597222222</v>
      </c>
      <c r="B88" t="inlineStr">
        <is>
          <t>I like it</t>
        </is>
      </c>
      <c r="C88" t="inlineStr">
        <is>
          <t>I dislike it</t>
        </is>
      </c>
      <c r="D88" t="inlineStr">
        <is>
          <t>I like it</t>
        </is>
      </c>
      <c r="E88" t="inlineStr">
        <is>
          <t>I'm neutral</t>
        </is>
      </c>
      <c r="F88" t="inlineStr">
        <is>
          <t>I can tolerate it</t>
        </is>
      </c>
      <c r="G88" t="inlineStr">
        <is>
          <t>I dislike it</t>
        </is>
      </c>
      <c r="H88" t="inlineStr">
        <is>
          <t>I'm neutral</t>
        </is>
      </c>
      <c r="I88" t="inlineStr">
        <is>
          <t>I'm neutral</t>
        </is>
      </c>
      <c r="J88" t="inlineStr">
        <is>
          <t>I like it</t>
        </is>
      </c>
      <c r="K88" t="inlineStr">
        <is>
          <t>I'm neutral</t>
        </is>
      </c>
      <c r="L88" t="inlineStr">
        <is>
          <t>I dislike it</t>
        </is>
      </c>
      <c r="M88" t="inlineStr">
        <is>
          <t>I can tolerate it</t>
        </is>
      </c>
    </row>
    <row r="89">
      <c r="A89" s="18" t="n">
        <v>46282.31319444445</v>
      </c>
      <c r="B89" t="inlineStr">
        <is>
          <t>I like it</t>
        </is>
      </c>
      <c r="C89" t="inlineStr">
        <is>
          <t>I dislike it</t>
        </is>
      </c>
      <c r="D89" t="inlineStr">
        <is>
          <t>I'm neutral</t>
        </is>
      </c>
      <c r="E89" t="inlineStr">
        <is>
          <t>I dislike it</t>
        </is>
      </c>
      <c r="F89" t="inlineStr">
        <is>
          <t>I like it</t>
        </is>
      </c>
      <c r="G89" t="inlineStr">
        <is>
          <t>I can tolerate it</t>
        </is>
      </c>
      <c r="H89" t="inlineStr">
        <is>
          <t>I like it</t>
        </is>
      </c>
      <c r="I89" t="inlineStr">
        <is>
          <t>I dislike it</t>
        </is>
      </c>
      <c r="J89" t="inlineStr">
        <is>
          <t>I'm neutral</t>
        </is>
      </c>
      <c r="K89" t="inlineStr">
        <is>
          <t>I'm neutral</t>
        </is>
      </c>
      <c r="L89" t="inlineStr">
        <is>
          <t>I dislike it</t>
        </is>
      </c>
      <c r="M89" t="inlineStr">
        <is>
          <t>I'm neutral</t>
        </is>
      </c>
    </row>
    <row r="90">
      <c r="A90" s="18" t="n">
        <v>46282.35208333333</v>
      </c>
      <c r="B90" t="inlineStr">
        <is>
          <t>I like it</t>
        </is>
      </c>
      <c r="C90" t="inlineStr">
        <is>
          <t>I dislike it</t>
        </is>
      </c>
      <c r="D90" t="inlineStr">
        <is>
          <t>I like it</t>
        </is>
      </c>
      <c r="E90" t="inlineStr">
        <is>
          <t>I'm neutral</t>
        </is>
      </c>
      <c r="F90" t="inlineStr">
        <is>
          <t>I like it</t>
        </is>
      </c>
      <c r="G90" t="inlineStr">
        <is>
          <t>I dislike it</t>
        </is>
      </c>
      <c r="H90" t="inlineStr">
        <is>
          <t>I like it</t>
        </is>
      </c>
      <c r="I90" t="inlineStr">
        <is>
          <t>I'm neutral</t>
        </is>
      </c>
      <c r="J90" t="inlineStr">
        <is>
          <t>I'm neutral</t>
        </is>
      </c>
      <c r="K90" t="inlineStr">
        <is>
          <t>I can tolerate it</t>
        </is>
      </c>
      <c r="L90" t="inlineStr">
        <is>
          <t>I like it</t>
        </is>
      </c>
      <c r="M90" t="inlineStr">
        <is>
          <t>I dislike it</t>
        </is>
      </c>
    </row>
    <row r="91">
      <c r="A91" s="18" t="n">
        <v>46282.36875</v>
      </c>
      <c r="B91" t="inlineStr">
        <is>
          <t>I like it</t>
        </is>
      </c>
      <c r="C91" t="inlineStr">
        <is>
          <t>I dislike it</t>
        </is>
      </c>
      <c r="D91" t="inlineStr">
        <is>
          <t>I'm neutral</t>
        </is>
      </c>
      <c r="E91" t="inlineStr">
        <is>
          <t>I'm neutral</t>
        </is>
      </c>
      <c r="F91" t="inlineStr">
        <is>
          <t>I like it</t>
        </is>
      </c>
      <c r="G91" t="inlineStr">
        <is>
          <t>I dislike it</t>
        </is>
      </c>
      <c r="H91" t="inlineStr">
        <is>
          <t>I'm neutral</t>
        </is>
      </c>
      <c r="I91" t="inlineStr">
        <is>
          <t>I'm neutral</t>
        </is>
      </c>
      <c r="J91" t="inlineStr">
        <is>
          <t>I'm neutral</t>
        </is>
      </c>
      <c r="K91" t="inlineStr">
        <is>
          <t>I'm neutral</t>
        </is>
      </c>
      <c r="L91" t="inlineStr">
        <is>
          <t>I'm neutral</t>
        </is>
      </c>
      <c r="M91" t="inlineStr">
        <is>
          <t>I'm neutral</t>
        </is>
      </c>
    </row>
    <row r="92">
      <c r="A92" s="18" t="n">
        <v>46282.40069444444</v>
      </c>
      <c r="B92" t="inlineStr">
        <is>
          <t>I like it</t>
        </is>
      </c>
      <c r="C92" t="inlineStr">
        <is>
          <t>I dislike it</t>
        </is>
      </c>
      <c r="D92" t="inlineStr">
        <is>
          <t>I like it</t>
        </is>
      </c>
      <c r="E92" t="inlineStr">
        <is>
          <t>I dislike it</t>
        </is>
      </c>
      <c r="F92" t="inlineStr">
        <is>
          <t>I'm neutral</t>
        </is>
      </c>
      <c r="G92" t="inlineStr">
        <is>
          <t>I'm neutral</t>
        </is>
      </c>
      <c r="H92" t="inlineStr">
        <is>
          <t>I expect it</t>
        </is>
      </c>
      <c r="I92" t="inlineStr">
        <is>
          <t>I'm neutral</t>
        </is>
      </c>
      <c r="J92" t="inlineStr">
        <is>
          <t>I can tolerate it</t>
        </is>
      </c>
      <c r="K92" t="inlineStr">
        <is>
          <t>I can tolerate it</t>
        </is>
      </c>
      <c r="L92" t="inlineStr">
        <is>
          <t>I can tolerate it</t>
        </is>
      </c>
      <c r="M92" t="inlineStr">
        <is>
          <t>I'm neutral</t>
        </is>
      </c>
    </row>
    <row r="93">
      <c r="A93" s="18" t="n">
        <v>46282.41597222222</v>
      </c>
      <c r="B93" t="inlineStr">
        <is>
          <t>I like it</t>
        </is>
      </c>
      <c r="C93" t="inlineStr">
        <is>
          <t>I dislike it</t>
        </is>
      </c>
      <c r="D93" t="inlineStr">
        <is>
          <t>I like it</t>
        </is>
      </c>
      <c r="E93" t="inlineStr">
        <is>
          <t>I dislike it</t>
        </is>
      </c>
      <c r="F93" t="inlineStr">
        <is>
          <t>I expect it</t>
        </is>
      </c>
      <c r="G93" t="inlineStr">
        <is>
          <t>I dislike it</t>
        </is>
      </c>
      <c r="H93" t="inlineStr">
        <is>
          <t>I can tolerate it</t>
        </is>
      </c>
      <c r="I93" t="inlineStr">
        <is>
          <t>I'm neutral</t>
        </is>
      </c>
      <c r="J93" t="inlineStr">
        <is>
          <t>I like it</t>
        </is>
      </c>
      <c r="K93" t="inlineStr">
        <is>
          <t>I dislike it</t>
        </is>
      </c>
      <c r="L93" t="inlineStr">
        <is>
          <t>I'm neutral</t>
        </is>
      </c>
      <c r="M93" t="inlineStr">
        <is>
          <t>I'm neutral</t>
        </is>
      </c>
    </row>
    <row r="94">
      <c r="A94" s="18" t="n">
        <v>46282.46111111111</v>
      </c>
      <c r="B94" t="inlineStr">
        <is>
          <t>I expect it</t>
        </is>
      </c>
      <c r="C94" t="inlineStr">
        <is>
          <t>I dislike it</t>
        </is>
      </c>
      <c r="D94" t="inlineStr">
        <is>
          <t>I like it</t>
        </is>
      </c>
      <c r="E94" t="inlineStr">
        <is>
          <t>I dislike it</t>
        </is>
      </c>
      <c r="F94" t="inlineStr">
        <is>
          <t>I like it</t>
        </is>
      </c>
      <c r="G94" t="inlineStr">
        <is>
          <t>I'm neutral</t>
        </is>
      </c>
      <c r="H94" t="inlineStr">
        <is>
          <t>I like it</t>
        </is>
      </c>
      <c r="I94" t="inlineStr">
        <is>
          <t>I'm neutral</t>
        </is>
      </c>
      <c r="J94" t="inlineStr">
        <is>
          <t>I dislike it</t>
        </is>
      </c>
      <c r="K94" t="inlineStr">
        <is>
          <t>I can tolerate it</t>
        </is>
      </c>
      <c r="L94" t="inlineStr">
        <is>
          <t>I expect it</t>
        </is>
      </c>
      <c r="M94" t="inlineStr">
        <is>
          <t>I dislike it</t>
        </is>
      </c>
    </row>
    <row r="95">
      <c r="A95" s="18" t="n">
        <v>46282.5</v>
      </c>
      <c r="B95" t="inlineStr">
        <is>
          <t>I expect it</t>
        </is>
      </c>
      <c r="C95" t="inlineStr">
        <is>
          <t>I dislike it</t>
        </is>
      </c>
      <c r="D95" t="inlineStr">
        <is>
          <t>I'm neutral</t>
        </is>
      </c>
      <c r="E95" t="inlineStr">
        <is>
          <t>I'm neutral</t>
        </is>
      </c>
      <c r="F95" t="inlineStr">
        <is>
          <t>I like it</t>
        </is>
      </c>
      <c r="G95" t="inlineStr">
        <is>
          <t>I'm neutral</t>
        </is>
      </c>
      <c r="H95" t="inlineStr">
        <is>
          <t>I like it</t>
        </is>
      </c>
      <c r="I95" t="inlineStr">
        <is>
          <t>I dislike it</t>
        </is>
      </c>
      <c r="J95" t="inlineStr">
        <is>
          <t>I dislike it</t>
        </is>
      </c>
      <c r="K95" t="inlineStr">
        <is>
          <t>I'm neutral</t>
        </is>
      </c>
      <c r="L95" t="inlineStr">
        <is>
          <t>I like it</t>
        </is>
      </c>
      <c r="M95" t="inlineStr">
        <is>
          <t>I dislike it</t>
        </is>
      </c>
    </row>
    <row r="96">
      <c r="A96" s="18" t="n">
        <v>46282.50555555556</v>
      </c>
      <c r="B96" t="inlineStr">
        <is>
          <t>I like it</t>
        </is>
      </c>
      <c r="C96" t="inlineStr">
        <is>
          <t>I'm neutral</t>
        </is>
      </c>
      <c r="D96" t="inlineStr">
        <is>
          <t>I like it</t>
        </is>
      </c>
      <c r="E96" t="inlineStr">
        <is>
          <t>I dislike it</t>
        </is>
      </c>
      <c r="F96" t="inlineStr">
        <is>
          <t>I like it</t>
        </is>
      </c>
      <c r="G96" t="inlineStr">
        <is>
          <t>I can tolerate it</t>
        </is>
      </c>
      <c r="H96" t="inlineStr">
        <is>
          <t>I like it</t>
        </is>
      </c>
      <c r="I96" t="inlineStr">
        <is>
          <t>I can tolerate it</t>
        </is>
      </c>
      <c r="J96" t="inlineStr">
        <is>
          <t>I'm neutral</t>
        </is>
      </c>
      <c r="K96" t="inlineStr">
        <is>
          <t>I'm neutral</t>
        </is>
      </c>
      <c r="L96" t="inlineStr">
        <is>
          <t>I like it</t>
        </is>
      </c>
      <c r="M96" t="inlineStr">
        <is>
          <t>I dislike it</t>
        </is>
      </c>
    </row>
    <row r="97">
      <c r="A97" s="18" t="n">
        <v>46282.56666666667</v>
      </c>
      <c r="B97" t="inlineStr">
        <is>
          <t>I expect it</t>
        </is>
      </c>
      <c r="C97" t="inlineStr">
        <is>
          <t>I dislike it</t>
        </is>
      </c>
      <c r="D97" t="inlineStr">
        <is>
          <t>I like it</t>
        </is>
      </c>
      <c r="E97" t="inlineStr">
        <is>
          <t>I dislike it</t>
        </is>
      </c>
      <c r="F97" t="inlineStr">
        <is>
          <t>I expect it</t>
        </is>
      </c>
      <c r="G97" t="inlineStr">
        <is>
          <t>I'm neutral</t>
        </is>
      </c>
      <c r="H97" t="inlineStr">
        <is>
          <t>I like it</t>
        </is>
      </c>
      <c r="I97" t="inlineStr">
        <is>
          <t>I'm neutral</t>
        </is>
      </c>
      <c r="J97" t="inlineStr">
        <is>
          <t>I expect it</t>
        </is>
      </c>
      <c r="K97" t="inlineStr">
        <is>
          <t>I dislike it</t>
        </is>
      </c>
      <c r="L97" t="inlineStr">
        <is>
          <t>I like it</t>
        </is>
      </c>
      <c r="M97" t="inlineStr">
        <is>
          <t>I dislike it</t>
        </is>
      </c>
    </row>
    <row r="98">
      <c r="A98" s="18" t="n">
        <v>46282.575</v>
      </c>
      <c r="B98" t="inlineStr">
        <is>
          <t>I'm neutral</t>
        </is>
      </c>
      <c r="C98" t="inlineStr">
        <is>
          <t>I dislike it</t>
        </is>
      </c>
      <c r="D98" t="inlineStr">
        <is>
          <t>I like it</t>
        </is>
      </c>
      <c r="E98" t="inlineStr">
        <is>
          <t>I dislike it</t>
        </is>
      </c>
      <c r="F98" t="inlineStr">
        <is>
          <t>I like it</t>
        </is>
      </c>
      <c r="G98" t="inlineStr">
        <is>
          <t>I dislike it</t>
        </is>
      </c>
      <c r="H98" t="inlineStr">
        <is>
          <t>I like it</t>
        </is>
      </c>
      <c r="I98" t="inlineStr">
        <is>
          <t>I expect it</t>
        </is>
      </c>
      <c r="J98" t="inlineStr">
        <is>
          <t>I can tolerate it</t>
        </is>
      </c>
      <c r="K98" t="inlineStr">
        <is>
          <t>I'm neutral</t>
        </is>
      </c>
      <c r="L98" t="inlineStr">
        <is>
          <t>I'm neutral</t>
        </is>
      </c>
      <c r="M98" t="inlineStr">
        <is>
          <t>I'm neutral</t>
        </is>
      </c>
    </row>
    <row r="99">
      <c r="A99" s="18" t="n">
        <v>46282.62638888889</v>
      </c>
      <c r="B99" t="inlineStr">
        <is>
          <t>I'm neutral</t>
        </is>
      </c>
      <c r="C99" t="inlineStr">
        <is>
          <t>I dislike it</t>
        </is>
      </c>
      <c r="D99" t="inlineStr">
        <is>
          <t>I like it</t>
        </is>
      </c>
      <c r="E99" t="inlineStr">
        <is>
          <t>I can tolerate it</t>
        </is>
      </c>
      <c r="F99" t="inlineStr">
        <is>
          <t>I'm neutral</t>
        </is>
      </c>
      <c r="G99" t="inlineStr">
        <is>
          <t>I can tolerate it</t>
        </is>
      </c>
      <c r="H99" t="inlineStr">
        <is>
          <t>I dislike it</t>
        </is>
      </c>
      <c r="I99" t="inlineStr">
        <is>
          <t>I like it</t>
        </is>
      </c>
      <c r="J99" t="inlineStr">
        <is>
          <t>I expect it</t>
        </is>
      </c>
      <c r="K99" t="inlineStr">
        <is>
          <t>I dislike it</t>
        </is>
      </c>
      <c r="L99" t="inlineStr">
        <is>
          <t>I can tolerate it</t>
        </is>
      </c>
      <c r="M99" t="inlineStr">
        <is>
          <t>I like it</t>
        </is>
      </c>
    </row>
    <row r="100">
      <c r="A100" s="18" t="n">
        <v>46282.67916666667</v>
      </c>
      <c r="B100" t="inlineStr">
        <is>
          <t>I like it</t>
        </is>
      </c>
      <c r="C100" t="inlineStr">
        <is>
          <t>I'm neutral</t>
        </is>
      </c>
      <c r="D100" t="inlineStr">
        <is>
          <t>I can tolerate it</t>
        </is>
      </c>
      <c r="E100" t="inlineStr">
        <is>
          <t>I dislike it</t>
        </is>
      </c>
      <c r="F100" t="inlineStr">
        <is>
          <t>I like it</t>
        </is>
      </c>
      <c r="G100" t="inlineStr">
        <is>
          <t>I dislike it</t>
        </is>
      </c>
      <c r="H100" t="inlineStr">
        <is>
          <t>I'm neutral</t>
        </is>
      </c>
      <c r="I100" t="inlineStr">
        <is>
          <t>I'm neutral</t>
        </is>
      </c>
      <c r="J100" t="inlineStr">
        <is>
          <t>I'm neutral</t>
        </is>
      </c>
      <c r="K100" t="inlineStr">
        <is>
          <t>I'm neutral</t>
        </is>
      </c>
      <c r="L100" t="inlineStr">
        <is>
          <t>I expect it</t>
        </is>
      </c>
      <c r="M100" t="inlineStr">
        <is>
          <t>I dislike it</t>
        </is>
      </c>
    </row>
    <row r="101">
      <c r="A101" s="18" t="n">
        <v>46282.70902777778</v>
      </c>
      <c r="B101" t="inlineStr">
        <is>
          <t>I expect it</t>
        </is>
      </c>
      <c r="C101" t="inlineStr">
        <is>
          <t>I dislike it</t>
        </is>
      </c>
      <c r="D101" t="inlineStr">
        <is>
          <t>I'm neutral</t>
        </is>
      </c>
      <c r="E101" t="inlineStr">
        <is>
          <t>I can tolerate it</t>
        </is>
      </c>
      <c r="F101" t="inlineStr">
        <is>
          <t>I like it</t>
        </is>
      </c>
      <c r="G101" t="inlineStr">
        <is>
          <t>I dislike it</t>
        </is>
      </c>
      <c r="H101" t="inlineStr">
        <is>
          <t>I'm neutral</t>
        </is>
      </c>
      <c r="I101" t="inlineStr">
        <is>
          <t>I'm neutral</t>
        </is>
      </c>
      <c r="J101" t="inlineStr">
        <is>
          <t>I'm neutral</t>
        </is>
      </c>
      <c r="K101" t="inlineStr">
        <is>
          <t>I dislike it</t>
        </is>
      </c>
      <c r="L101" t="inlineStr">
        <is>
          <t>I dislike it</t>
        </is>
      </c>
      <c r="M101" t="inlineStr">
        <is>
          <t>I like it</t>
        </is>
      </c>
    </row>
    <row r="102">
      <c r="A102" s="18" t="n">
        <v>46282.74097222222</v>
      </c>
      <c r="B102" t="inlineStr">
        <is>
          <t>I like it</t>
        </is>
      </c>
      <c r="C102" t="inlineStr">
        <is>
          <t>I dislike it</t>
        </is>
      </c>
      <c r="D102" t="inlineStr">
        <is>
          <t>I like it</t>
        </is>
      </c>
      <c r="E102" t="inlineStr">
        <is>
          <t>I dislike it</t>
        </is>
      </c>
      <c r="F102" t="inlineStr">
        <is>
          <t>I can tolerate it</t>
        </is>
      </c>
      <c r="G102" t="inlineStr">
        <is>
          <t>I can tolerate it</t>
        </is>
      </c>
      <c r="H102" t="inlineStr">
        <is>
          <t>I'm neutral</t>
        </is>
      </c>
      <c r="I102" t="inlineStr">
        <is>
          <t>I'm neutral</t>
        </is>
      </c>
      <c r="J102" t="inlineStr">
        <is>
          <t>I'm neutral</t>
        </is>
      </c>
      <c r="K102" t="inlineStr">
        <is>
          <t>I can tolerate it</t>
        </is>
      </c>
      <c r="L102" t="inlineStr">
        <is>
          <t>I can tolerate it</t>
        </is>
      </c>
      <c r="M102" t="inlineStr">
        <is>
          <t>I like it</t>
        </is>
      </c>
    </row>
    <row r="103">
      <c r="A103" s="18" t="n">
        <v>46282.80416666667</v>
      </c>
      <c r="B103" t="inlineStr">
        <is>
          <t>I can tolerate it</t>
        </is>
      </c>
      <c r="C103" t="inlineStr">
        <is>
          <t>I dislike it</t>
        </is>
      </c>
      <c r="D103" t="inlineStr">
        <is>
          <t>I like it</t>
        </is>
      </c>
      <c r="E103" t="inlineStr">
        <is>
          <t>I dislike it</t>
        </is>
      </c>
      <c r="F103" t="inlineStr">
        <is>
          <t>I can tolerate it</t>
        </is>
      </c>
      <c r="G103" t="inlineStr">
        <is>
          <t>I can tolerate it</t>
        </is>
      </c>
      <c r="H103" t="inlineStr">
        <is>
          <t>I like it</t>
        </is>
      </c>
      <c r="I103" t="inlineStr">
        <is>
          <t>I'm neutral</t>
        </is>
      </c>
      <c r="J103" t="inlineStr">
        <is>
          <t>I dislike it</t>
        </is>
      </c>
      <c r="K103" t="inlineStr">
        <is>
          <t>I like it</t>
        </is>
      </c>
      <c r="L103" t="inlineStr">
        <is>
          <t>I like it</t>
        </is>
      </c>
      <c r="M103" t="inlineStr">
        <is>
          <t>I dislike it</t>
        </is>
      </c>
    </row>
    <row r="104">
      <c r="A104" s="18" t="n">
        <v>46282.83680555555</v>
      </c>
      <c r="B104" t="inlineStr">
        <is>
          <t>I'm neutral</t>
        </is>
      </c>
      <c r="C104" t="inlineStr">
        <is>
          <t>I dislike it</t>
        </is>
      </c>
      <c r="D104" t="inlineStr">
        <is>
          <t>I like it</t>
        </is>
      </c>
      <c r="E104" t="inlineStr">
        <is>
          <t>I expect it</t>
        </is>
      </c>
      <c r="F104" t="inlineStr">
        <is>
          <t>I like it</t>
        </is>
      </c>
      <c r="G104" t="inlineStr">
        <is>
          <t>I expect it</t>
        </is>
      </c>
      <c r="H104" t="inlineStr">
        <is>
          <t>I like it</t>
        </is>
      </c>
      <c r="I104" t="inlineStr">
        <is>
          <t>I dislike it</t>
        </is>
      </c>
      <c r="J104" t="inlineStr">
        <is>
          <t>I can tolerate it</t>
        </is>
      </c>
      <c r="K104" t="inlineStr">
        <is>
          <t>I can tolerate it</t>
        </is>
      </c>
      <c r="L104" t="inlineStr">
        <is>
          <t>I like it</t>
        </is>
      </c>
      <c r="M104" t="inlineStr">
        <is>
          <t>I can tolerate it</t>
        </is>
      </c>
    </row>
    <row r="105">
      <c r="A105" s="18" t="n">
        <v>46282.89166666667</v>
      </c>
      <c r="B105" t="inlineStr">
        <is>
          <t>I expect it</t>
        </is>
      </c>
      <c r="C105" t="inlineStr">
        <is>
          <t>I dislike it</t>
        </is>
      </c>
      <c r="D105" t="inlineStr">
        <is>
          <t>I expect it</t>
        </is>
      </c>
      <c r="E105" t="inlineStr">
        <is>
          <t>I dislike it</t>
        </is>
      </c>
      <c r="F105" t="inlineStr">
        <is>
          <t>I like it</t>
        </is>
      </c>
      <c r="G105" t="inlineStr">
        <is>
          <t>I'm neutral</t>
        </is>
      </c>
      <c r="H105" t="inlineStr">
        <is>
          <t>I expect it</t>
        </is>
      </c>
      <c r="I105" t="inlineStr">
        <is>
          <t>I'm neutral</t>
        </is>
      </c>
      <c r="J105" t="inlineStr">
        <is>
          <t>I'm neutral</t>
        </is>
      </c>
      <c r="K105" t="inlineStr">
        <is>
          <t>I can tolerate it</t>
        </is>
      </c>
      <c r="L105" t="inlineStr">
        <is>
          <t>I expect it</t>
        </is>
      </c>
      <c r="M105" t="inlineStr">
        <is>
          <t>I'm neutral</t>
        </is>
      </c>
    </row>
    <row r="106">
      <c r="A106" s="18" t="n">
        <v>46282.9375</v>
      </c>
      <c r="B106" t="inlineStr">
        <is>
          <t>I like it</t>
        </is>
      </c>
      <c r="C106" t="inlineStr">
        <is>
          <t>I dislike it</t>
        </is>
      </c>
      <c r="D106" t="inlineStr">
        <is>
          <t>I like it</t>
        </is>
      </c>
      <c r="E106" t="inlineStr">
        <is>
          <t>I dislike it</t>
        </is>
      </c>
      <c r="F106" t="inlineStr">
        <is>
          <t>I like it</t>
        </is>
      </c>
      <c r="G106" t="inlineStr">
        <is>
          <t>I'm neutral</t>
        </is>
      </c>
      <c r="H106" t="inlineStr">
        <is>
          <t>I like it</t>
        </is>
      </c>
      <c r="I106" t="inlineStr">
        <is>
          <t>I dislike it</t>
        </is>
      </c>
      <c r="J106" t="inlineStr">
        <is>
          <t>I like it</t>
        </is>
      </c>
      <c r="K106" t="inlineStr">
        <is>
          <t>I dislike it</t>
        </is>
      </c>
      <c r="L106" t="inlineStr">
        <is>
          <t>I like it</t>
        </is>
      </c>
      <c r="M106" t="inlineStr">
        <is>
          <t>I can tolerate it</t>
        </is>
      </c>
    </row>
    <row r="107">
      <c r="A107" s="18" t="n">
        <v>46282.99097222222</v>
      </c>
      <c r="B107" t="inlineStr">
        <is>
          <t>I expect it</t>
        </is>
      </c>
      <c r="C107" t="inlineStr">
        <is>
          <t>I dislike it</t>
        </is>
      </c>
      <c r="D107" t="inlineStr">
        <is>
          <t>I like it</t>
        </is>
      </c>
      <c r="E107" t="inlineStr">
        <is>
          <t>I can tolerate it</t>
        </is>
      </c>
      <c r="F107" t="inlineStr">
        <is>
          <t>I like it</t>
        </is>
      </c>
      <c r="G107" t="inlineStr">
        <is>
          <t>I'm neutral</t>
        </is>
      </c>
      <c r="H107" t="inlineStr">
        <is>
          <t>I like it</t>
        </is>
      </c>
      <c r="I107" t="inlineStr">
        <is>
          <t>I expect it</t>
        </is>
      </c>
      <c r="J107" t="inlineStr">
        <is>
          <t>I like it</t>
        </is>
      </c>
      <c r="K107" t="inlineStr">
        <is>
          <t>I expect it</t>
        </is>
      </c>
      <c r="L107" t="inlineStr">
        <is>
          <t>I'm neutral</t>
        </is>
      </c>
      <c r="M107" t="inlineStr">
        <is>
          <t>I'm neutral</t>
        </is>
      </c>
    </row>
    <row r="108">
      <c r="A108" s="18" t="n">
        <v>46283.03333333333</v>
      </c>
      <c r="B108" t="inlineStr">
        <is>
          <t>I can tolerate it</t>
        </is>
      </c>
      <c r="C108" t="inlineStr">
        <is>
          <t>I dislike it</t>
        </is>
      </c>
      <c r="D108" t="inlineStr">
        <is>
          <t>I like it</t>
        </is>
      </c>
      <c r="E108" t="inlineStr">
        <is>
          <t>I dislike it</t>
        </is>
      </c>
      <c r="F108" t="inlineStr">
        <is>
          <t>I like it</t>
        </is>
      </c>
      <c r="G108" t="inlineStr">
        <is>
          <t>I'm neutral</t>
        </is>
      </c>
      <c r="H108" t="inlineStr">
        <is>
          <t>I'm neutral</t>
        </is>
      </c>
      <c r="I108" t="inlineStr">
        <is>
          <t>I'm neutral</t>
        </is>
      </c>
      <c r="J108" t="inlineStr">
        <is>
          <t>I'm neutral</t>
        </is>
      </c>
      <c r="K108" t="inlineStr">
        <is>
          <t>I'm neutral</t>
        </is>
      </c>
      <c r="L108" t="inlineStr">
        <is>
          <t>I dislike it</t>
        </is>
      </c>
      <c r="M108" t="inlineStr">
        <is>
          <t>I'm neutral</t>
        </is>
      </c>
    </row>
    <row r="109">
      <c r="A109" s="18" t="n">
        <v>46283.04097222222</v>
      </c>
      <c r="B109" t="inlineStr">
        <is>
          <t>I'm neutral</t>
        </is>
      </c>
      <c r="C109" t="inlineStr">
        <is>
          <t>I'm neutral</t>
        </is>
      </c>
      <c r="D109" t="inlineStr">
        <is>
          <t>I like it</t>
        </is>
      </c>
      <c r="E109" t="inlineStr">
        <is>
          <t>I'm neutral</t>
        </is>
      </c>
      <c r="F109" t="inlineStr">
        <is>
          <t>I like it</t>
        </is>
      </c>
      <c r="G109" t="inlineStr">
        <is>
          <t>I can tolerate it</t>
        </is>
      </c>
      <c r="H109" t="inlineStr">
        <is>
          <t>I can tolerate it</t>
        </is>
      </c>
      <c r="I109" t="inlineStr">
        <is>
          <t>I can tolerate it</t>
        </is>
      </c>
      <c r="J109" t="inlineStr">
        <is>
          <t>I'm neutral</t>
        </is>
      </c>
      <c r="K109" t="inlineStr">
        <is>
          <t>I'm neutral</t>
        </is>
      </c>
      <c r="L109" t="inlineStr">
        <is>
          <t>I'm neutral</t>
        </is>
      </c>
      <c r="M109" t="inlineStr">
        <is>
          <t>I'm neutral</t>
        </is>
      </c>
    </row>
    <row r="110">
      <c r="A110" s="18" t="n">
        <v>46283.05069444444</v>
      </c>
      <c r="B110" t="inlineStr">
        <is>
          <t>I like it</t>
        </is>
      </c>
      <c r="C110" t="inlineStr">
        <is>
          <t>I dislike it</t>
        </is>
      </c>
      <c r="D110" t="inlineStr">
        <is>
          <t>I'm neutral</t>
        </is>
      </c>
      <c r="E110" t="inlineStr">
        <is>
          <t>I can tolerate it</t>
        </is>
      </c>
      <c r="F110" t="inlineStr">
        <is>
          <t>I like it</t>
        </is>
      </c>
      <c r="G110" t="inlineStr">
        <is>
          <t>I'm neutral</t>
        </is>
      </c>
      <c r="H110" t="inlineStr">
        <is>
          <t>I expect it</t>
        </is>
      </c>
      <c r="I110" t="inlineStr">
        <is>
          <t>I expect it</t>
        </is>
      </c>
      <c r="J110" t="inlineStr">
        <is>
          <t>I like it</t>
        </is>
      </c>
      <c r="K110" t="inlineStr">
        <is>
          <t>I dislike it</t>
        </is>
      </c>
      <c r="L110" t="inlineStr">
        <is>
          <t>I expect it</t>
        </is>
      </c>
      <c r="M110" t="inlineStr">
        <is>
          <t>I expect it</t>
        </is>
      </c>
    </row>
    <row r="111">
      <c r="A111" s="18" t="n">
        <v>46283.07638888889</v>
      </c>
      <c r="B111" t="inlineStr">
        <is>
          <t>I expect it</t>
        </is>
      </c>
      <c r="C111" t="inlineStr">
        <is>
          <t>I dislike it</t>
        </is>
      </c>
      <c r="D111" t="inlineStr">
        <is>
          <t>I like it</t>
        </is>
      </c>
      <c r="E111" t="inlineStr">
        <is>
          <t>I'm neutral</t>
        </is>
      </c>
      <c r="F111" t="inlineStr">
        <is>
          <t>I'm neutral</t>
        </is>
      </c>
      <c r="G111" t="inlineStr">
        <is>
          <t>I'm neutral</t>
        </is>
      </c>
      <c r="H111" t="inlineStr">
        <is>
          <t>I like it</t>
        </is>
      </c>
      <c r="I111" t="inlineStr">
        <is>
          <t>I can tolerate it</t>
        </is>
      </c>
      <c r="J111" t="inlineStr">
        <is>
          <t>I'm neutral</t>
        </is>
      </c>
      <c r="K111" t="inlineStr">
        <is>
          <t>I'm neutral</t>
        </is>
      </c>
      <c r="L111" t="inlineStr">
        <is>
          <t>I can tolerate it</t>
        </is>
      </c>
      <c r="M111" t="inlineStr">
        <is>
          <t>I can tolerate it</t>
        </is>
      </c>
    </row>
    <row r="112">
      <c r="A112" s="18" t="n">
        <v>46283.12013888889</v>
      </c>
      <c r="B112" t="inlineStr">
        <is>
          <t>I like it</t>
        </is>
      </c>
      <c r="C112" t="inlineStr">
        <is>
          <t>I dislike it</t>
        </is>
      </c>
      <c r="D112" t="inlineStr">
        <is>
          <t>I'm neutral</t>
        </is>
      </c>
      <c r="E112" t="inlineStr">
        <is>
          <t>I dislike it</t>
        </is>
      </c>
      <c r="F112" t="inlineStr">
        <is>
          <t>I like it</t>
        </is>
      </c>
      <c r="G112" t="inlineStr">
        <is>
          <t>I can tolerate it</t>
        </is>
      </c>
      <c r="H112" t="inlineStr">
        <is>
          <t>I can tolerate it</t>
        </is>
      </c>
      <c r="I112" t="inlineStr">
        <is>
          <t>I dislike it</t>
        </is>
      </c>
      <c r="J112" t="inlineStr">
        <is>
          <t>I like it</t>
        </is>
      </c>
      <c r="K112" t="inlineStr">
        <is>
          <t>I can tolerate it</t>
        </is>
      </c>
      <c r="L112" t="inlineStr">
        <is>
          <t>I dislike it</t>
        </is>
      </c>
      <c r="M112" t="inlineStr">
        <is>
          <t>I'm neutral</t>
        </is>
      </c>
    </row>
    <row r="113">
      <c r="A113" s="18" t="n">
        <v>46283.18402777778</v>
      </c>
      <c r="B113" t="inlineStr">
        <is>
          <t>I'm neutral</t>
        </is>
      </c>
      <c r="C113" t="inlineStr">
        <is>
          <t>I can tolerate it</t>
        </is>
      </c>
      <c r="D113" t="inlineStr">
        <is>
          <t>I can tolerate it</t>
        </is>
      </c>
      <c r="E113" t="inlineStr">
        <is>
          <t>I dislike it</t>
        </is>
      </c>
      <c r="F113" t="inlineStr">
        <is>
          <t>I'm neutral</t>
        </is>
      </c>
      <c r="G113" t="inlineStr">
        <is>
          <t>I'm neutral</t>
        </is>
      </c>
      <c r="H113" t="inlineStr">
        <is>
          <t>I like it</t>
        </is>
      </c>
      <c r="I113" t="inlineStr">
        <is>
          <t>I'm neutral</t>
        </is>
      </c>
      <c r="J113" t="inlineStr">
        <is>
          <t>I can tolerate it</t>
        </is>
      </c>
      <c r="K113" t="inlineStr">
        <is>
          <t>I can tolerate it</t>
        </is>
      </c>
      <c r="L113" t="inlineStr">
        <is>
          <t>I dislike it</t>
        </is>
      </c>
      <c r="M113" t="inlineStr">
        <is>
          <t>I like it</t>
        </is>
      </c>
    </row>
    <row r="114">
      <c r="A114" s="18" t="n">
        <v>46283.24513888889</v>
      </c>
      <c r="B114" t="inlineStr">
        <is>
          <t>I'm neutral</t>
        </is>
      </c>
      <c r="C114" t="inlineStr">
        <is>
          <t>I dislike it</t>
        </is>
      </c>
      <c r="D114" t="inlineStr">
        <is>
          <t>I like it</t>
        </is>
      </c>
      <c r="E114" t="inlineStr">
        <is>
          <t>I dislike it</t>
        </is>
      </c>
      <c r="F114" t="inlineStr">
        <is>
          <t>I like it</t>
        </is>
      </c>
      <c r="G114" t="inlineStr">
        <is>
          <t>I'm neutral</t>
        </is>
      </c>
      <c r="H114" t="inlineStr">
        <is>
          <t>I like it</t>
        </is>
      </c>
      <c r="I114" t="inlineStr">
        <is>
          <t>I'm neutral</t>
        </is>
      </c>
      <c r="J114" t="inlineStr">
        <is>
          <t>I like it</t>
        </is>
      </c>
      <c r="K114" t="inlineStr">
        <is>
          <t>I dislike it</t>
        </is>
      </c>
      <c r="L114" t="inlineStr">
        <is>
          <t>I'm neutral</t>
        </is>
      </c>
      <c r="M114" t="inlineStr">
        <is>
          <t>I'm neutral</t>
        </is>
      </c>
    </row>
    <row r="115">
      <c r="A115" s="18" t="n">
        <v>46283.25277777778</v>
      </c>
      <c r="B115" t="inlineStr">
        <is>
          <t>I like it</t>
        </is>
      </c>
      <c r="C115" t="inlineStr">
        <is>
          <t>I dislike it</t>
        </is>
      </c>
      <c r="D115" t="inlineStr">
        <is>
          <t>I'm neutral</t>
        </is>
      </c>
      <c r="E115" t="inlineStr">
        <is>
          <t>I can tolerate it</t>
        </is>
      </c>
      <c r="F115" t="inlineStr">
        <is>
          <t>I like it</t>
        </is>
      </c>
      <c r="G115" t="inlineStr">
        <is>
          <t>I can tolerate it</t>
        </is>
      </c>
      <c r="H115" t="inlineStr">
        <is>
          <t>I like it</t>
        </is>
      </c>
      <c r="I115" t="inlineStr">
        <is>
          <t>I dislike it</t>
        </is>
      </c>
      <c r="J115" t="inlineStr">
        <is>
          <t>I like it</t>
        </is>
      </c>
      <c r="K115" t="inlineStr">
        <is>
          <t>I expect it</t>
        </is>
      </c>
      <c r="L115" t="inlineStr">
        <is>
          <t>I'm neutral</t>
        </is>
      </c>
      <c r="M115" t="inlineStr">
        <is>
          <t>I'm neutral</t>
        </is>
      </c>
    </row>
    <row r="116">
      <c r="A116" s="18" t="n">
        <v>46283.25972222222</v>
      </c>
      <c r="B116" t="inlineStr">
        <is>
          <t>I expect it</t>
        </is>
      </c>
      <c r="C116" t="inlineStr">
        <is>
          <t>I dislike it</t>
        </is>
      </c>
      <c r="D116" t="inlineStr">
        <is>
          <t>I like it</t>
        </is>
      </c>
      <c r="E116" t="inlineStr">
        <is>
          <t>I'm neutral</t>
        </is>
      </c>
      <c r="F116" t="inlineStr">
        <is>
          <t>I like it</t>
        </is>
      </c>
      <c r="G116" t="inlineStr">
        <is>
          <t>I dislike it</t>
        </is>
      </c>
      <c r="H116" t="inlineStr">
        <is>
          <t>I like it</t>
        </is>
      </c>
      <c r="I116" t="inlineStr">
        <is>
          <t>I can tolerate it</t>
        </is>
      </c>
      <c r="J116" t="inlineStr">
        <is>
          <t>I'm neutral</t>
        </is>
      </c>
      <c r="K116" t="inlineStr">
        <is>
          <t>I'm neutral</t>
        </is>
      </c>
      <c r="L116" t="inlineStr">
        <is>
          <t>I can tolerate it</t>
        </is>
      </c>
      <c r="M116" t="inlineStr">
        <is>
          <t>I can tolerate it</t>
        </is>
      </c>
    </row>
    <row r="117">
      <c r="A117" s="18" t="n">
        <v>46283.32361111111</v>
      </c>
      <c r="B117" t="inlineStr">
        <is>
          <t>I like it</t>
        </is>
      </c>
      <c r="C117" t="inlineStr">
        <is>
          <t>I dislike it</t>
        </is>
      </c>
      <c r="D117" t="inlineStr">
        <is>
          <t>I like it</t>
        </is>
      </c>
      <c r="E117" t="inlineStr">
        <is>
          <t>I dislike it</t>
        </is>
      </c>
      <c r="F117" t="inlineStr">
        <is>
          <t>I like it</t>
        </is>
      </c>
      <c r="G117" t="inlineStr">
        <is>
          <t>I expect it</t>
        </is>
      </c>
      <c r="H117" t="inlineStr">
        <is>
          <t>I dislike it</t>
        </is>
      </c>
      <c r="I117" t="inlineStr">
        <is>
          <t>I'm neutral</t>
        </is>
      </c>
      <c r="J117" t="inlineStr">
        <is>
          <t>I dislike it</t>
        </is>
      </c>
      <c r="K117" t="inlineStr">
        <is>
          <t>I'm neutral</t>
        </is>
      </c>
      <c r="L117" t="inlineStr">
        <is>
          <t>I'm neutral</t>
        </is>
      </c>
      <c r="M117" t="inlineStr">
        <is>
          <t>I'm neutral</t>
        </is>
      </c>
    </row>
    <row r="118">
      <c r="A118" s="18" t="n">
        <v>46283.35277777778</v>
      </c>
      <c r="B118" t="inlineStr">
        <is>
          <t>I expect it</t>
        </is>
      </c>
      <c r="C118" t="inlineStr">
        <is>
          <t>I dislike it</t>
        </is>
      </c>
      <c r="D118" t="inlineStr">
        <is>
          <t>I can tolerate it</t>
        </is>
      </c>
      <c r="E118" t="inlineStr">
        <is>
          <t>I dislike it</t>
        </is>
      </c>
      <c r="F118" t="inlineStr">
        <is>
          <t>I like it</t>
        </is>
      </c>
      <c r="G118" t="inlineStr">
        <is>
          <t>I dislike it</t>
        </is>
      </c>
      <c r="H118" t="inlineStr">
        <is>
          <t>I like it</t>
        </is>
      </c>
      <c r="I118" t="inlineStr">
        <is>
          <t>I can tolerate it</t>
        </is>
      </c>
      <c r="J118" t="inlineStr">
        <is>
          <t>I like it</t>
        </is>
      </c>
      <c r="K118" t="inlineStr">
        <is>
          <t>I'm neutral</t>
        </is>
      </c>
      <c r="L118" t="inlineStr">
        <is>
          <t>I like it</t>
        </is>
      </c>
      <c r="M118" t="inlineStr">
        <is>
          <t>I can tolerate it</t>
        </is>
      </c>
    </row>
    <row r="119">
      <c r="A119" s="18" t="n">
        <v>46283.41180555556</v>
      </c>
      <c r="B119" t="inlineStr">
        <is>
          <t>I expect it</t>
        </is>
      </c>
      <c r="C119" t="inlineStr">
        <is>
          <t>I dislike it</t>
        </is>
      </c>
      <c r="D119" t="inlineStr">
        <is>
          <t>I like it</t>
        </is>
      </c>
      <c r="E119" t="inlineStr">
        <is>
          <t>I can tolerate it</t>
        </is>
      </c>
      <c r="F119" t="inlineStr">
        <is>
          <t>I like it</t>
        </is>
      </c>
      <c r="G119" t="inlineStr">
        <is>
          <t>I'm neutral</t>
        </is>
      </c>
      <c r="H119" t="inlineStr">
        <is>
          <t>I'm neutral</t>
        </is>
      </c>
      <c r="I119" t="inlineStr">
        <is>
          <t>I'm neutral</t>
        </is>
      </c>
      <c r="J119" t="inlineStr">
        <is>
          <t>I like it</t>
        </is>
      </c>
      <c r="K119" t="inlineStr">
        <is>
          <t>I'm neutral</t>
        </is>
      </c>
      <c r="L119" t="inlineStr">
        <is>
          <t>I can tolerate it</t>
        </is>
      </c>
      <c r="M119" t="inlineStr">
        <is>
          <t>I can tolerate it</t>
        </is>
      </c>
    </row>
    <row r="120">
      <c r="A120" s="18" t="n">
        <v>46283.46458333333</v>
      </c>
      <c r="B120" t="inlineStr">
        <is>
          <t>I like it</t>
        </is>
      </c>
      <c r="C120" t="inlineStr">
        <is>
          <t>I expect it</t>
        </is>
      </c>
      <c r="D120" t="inlineStr">
        <is>
          <t>I like it</t>
        </is>
      </c>
      <c r="E120" t="inlineStr">
        <is>
          <t>I'm neutral</t>
        </is>
      </c>
      <c r="F120" t="inlineStr">
        <is>
          <t>I like it</t>
        </is>
      </c>
      <c r="G120" t="inlineStr">
        <is>
          <t>I dislike it</t>
        </is>
      </c>
      <c r="H120" t="inlineStr">
        <is>
          <t>I like it</t>
        </is>
      </c>
      <c r="I120" t="inlineStr">
        <is>
          <t>I'm neutral</t>
        </is>
      </c>
      <c r="J120" t="inlineStr">
        <is>
          <t>I'm neutral</t>
        </is>
      </c>
      <c r="K120" t="inlineStr">
        <is>
          <t>I'm neutral</t>
        </is>
      </c>
      <c r="L120" t="inlineStr">
        <is>
          <t>I can tolerate it</t>
        </is>
      </c>
      <c r="M120" t="inlineStr">
        <is>
          <t>I dislike it</t>
        </is>
      </c>
    </row>
    <row r="121">
      <c r="A121" s="18" t="n">
        <v>46283.52708333333</v>
      </c>
      <c r="B121" t="inlineStr">
        <is>
          <t>I expect it</t>
        </is>
      </c>
      <c r="C121" t="inlineStr">
        <is>
          <t>I dislike it</t>
        </is>
      </c>
      <c r="D121" t="inlineStr">
        <is>
          <t>I like it</t>
        </is>
      </c>
      <c r="E121" t="inlineStr">
        <is>
          <t>I dislike it</t>
        </is>
      </c>
      <c r="F121" t="inlineStr">
        <is>
          <t>I like it</t>
        </is>
      </c>
      <c r="G121" t="inlineStr">
        <is>
          <t>I expect it</t>
        </is>
      </c>
      <c r="H121" t="inlineStr">
        <is>
          <t>I like it</t>
        </is>
      </c>
      <c r="I121" t="inlineStr">
        <is>
          <t>I'm neutral</t>
        </is>
      </c>
      <c r="J121" t="inlineStr">
        <is>
          <t>I like it</t>
        </is>
      </c>
      <c r="K121" t="inlineStr">
        <is>
          <t>I can tolerate it</t>
        </is>
      </c>
      <c r="L121" t="inlineStr">
        <is>
          <t>I expect it</t>
        </is>
      </c>
      <c r="M121" t="inlineStr">
        <is>
          <t>I dislike it</t>
        </is>
      </c>
    </row>
    <row r="122">
      <c r="A122" s="18" t="n">
        <v>46283.56875</v>
      </c>
      <c r="B122" t="inlineStr">
        <is>
          <t>I expect it</t>
        </is>
      </c>
      <c r="C122" t="inlineStr">
        <is>
          <t>I dislike it</t>
        </is>
      </c>
      <c r="D122" t="inlineStr">
        <is>
          <t>I like it</t>
        </is>
      </c>
      <c r="E122" t="inlineStr">
        <is>
          <t>I dislike it</t>
        </is>
      </c>
      <c r="F122" t="inlineStr">
        <is>
          <t>I like it</t>
        </is>
      </c>
      <c r="G122" t="inlineStr">
        <is>
          <t>I'm neutral</t>
        </is>
      </c>
      <c r="H122" t="inlineStr">
        <is>
          <t>I like it</t>
        </is>
      </c>
      <c r="I122" t="inlineStr">
        <is>
          <t>I'm neutral</t>
        </is>
      </c>
      <c r="J122" t="inlineStr">
        <is>
          <t>I expect it</t>
        </is>
      </c>
      <c r="K122" t="inlineStr">
        <is>
          <t>I'm neutral</t>
        </is>
      </c>
      <c r="L122" t="inlineStr">
        <is>
          <t>I like it</t>
        </is>
      </c>
      <c r="M122" t="inlineStr">
        <is>
          <t>I dislike it</t>
        </is>
      </c>
    </row>
    <row r="123">
      <c r="A123" s="18" t="n">
        <v>46283.59583333333</v>
      </c>
      <c r="B123" t="inlineStr">
        <is>
          <t>I like it</t>
        </is>
      </c>
      <c r="C123" t="inlineStr">
        <is>
          <t>I dislike it</t>
        </is>
      </c>
      <c r="D123" t="inlineStr">
        <is>
          <t>I like it</t>
        </is>
      </c>
      <c r="E123" t="inlineStr">
        <is>
          <t>I dislike it</t>
        </is>
      </c>
      <c r="F123" t="inlineStr">
        <is>
          <t>I like it</t>
        </is>
      </c>
      <c r="G123" t="inlineStr">
        <is>
          <t>I expect it</t>
        </is>
      </c>
      <c r="H123" t="inlineStr">
        <is>
          <t>I'm neutral</t>
        </is>
      </c>
      <c r="I123" t="inlineStr">
        <is>
          <t>I'm neutral</t>
        </is>
      </c>
      <c r="J123" t="inlineStr">
        <is>
          <t>I can tolerate it</t>
        </is>
      </c>
      <c r="K123" t="inlineStr">
        <is>
          <t>I can tolerate it</t>
        </is>
      </c>
      <c r="L123" t="inlineStr">
        <is>
          <t>I can tolerate it</t>
        </is>
      </c>
      <c r="M123" t="inlineStr">
        <is>
          <t>I can tolerate it</t>
        </is>
      </c>
    </row>
    <row r="124">
      <c r="A124" s="18" t="n">
        <v>46283.66111111111</v>
      </c>
      <c r="B124" t="inlineStr">
        <is>
          <t>I expect it</t>
        </is>
      </c>
      <c r="C124" t="inlineStr">
        <is>
          <t>I dislike it</t>
        </is>
      </c>
      <c r="D124" t="inlineStr">
        <is>
          <t>I like it</t>
        </is>
      </c>
      <c r="E124" t="inlineStr">
        <is>
          <t>I dislike it</t>
        </is>
      </c>
      <c r="F124" t="inlineStr">
        <is>
          <t>I like it</t>
        </is>
      </c>
      <c r="G124" t="inlineStr">
        <is>
          <t>I can tolerate it</t>
        </is>
      </c>
      <c r="H124" t="inlineStr">
        <is>
          <t>I can tolerate it</t>
        </is>
      </c>
      <c r="I124" t="inlineStr">
        <is>
          <t>I dislike it</t>
        </is>
      </c>
      <c r="J124" t="inlineStr">
        <is>
          <t>I expect it</t>
        </is>
      </c>
      <c r="K124" t="inlineStr">
        <is>
          <t>I'm neutral</t>
        </is>
      </c>
      <c r="L124" t="inlineStr">
        <is>
          <t>I can tolerate it</t>
        </is>
      </c>
      <c r="M124" t="inlineStr">
        <is>
          <t>I like it</t>
        </is>
      </c>
    </row>
    <row r="125">
      <c r="A125" s="18" t="n">
        <v>46283.69722222222</v>
      </c>
      <c r="B125" t="inlineStr">
        <is>
          <t>I expect it</t>
        </is>
      </c>
      <c r="C125" t="inlineStr">
        <is>
          <t>I dislike it</t>
        </is>
      </c>
      <c r="D125" t="inlineStr">
        <is>
          <t>I'm neutral</t>
        </is>
      </c>
      <c r="E125" t="inlineStr">
        <is>
          <t>I dislike it</t>
        </is>
      </c>
      <c r="F125" t="inlineStr">
        <is>
          <t>I like it</t>
        </is>
      </c>
      <c r="G125" t="inlineStr">
        <is>
          <t>I dislike it</t>
        </is>
      </c>
      <c r="H125" t="inlineStr">
        <is>
          <t>I like it</t>
        </is>
      </c>
      <c r="I125" t="inlineStr">
        <is>
          <t>I'm neutral</t>
        </is>
      </c>
      <c r="J125" t="inlineStr">
        <is>
          <t>I dislike it</t>
        </is>
      </c>
      <c r="K125" t="inlineStr">
        <is>
          <t>I'm neutral</t>
        </is>
      </c>
      <c r="L125" t="inlineStr">
        <is>
          <t>I can tolerate it</t>
        </is>
      </c>
      <c r="M125" t="inlineStr">
        <is>
          <t>I'm neutral</t>
        </is>
      </c>
    </row>
    <row r="126">
      <c r="A126" s="18" t="n">
        <v>46283.75833333333</v>
      </c>
      <c r="B126" t="inlineStr">
        <is>
          <t>I like it</t>
        </is>
      </c>
      <c r="C126" t="inlineStr">
        <is>
          <t>I dislike it</t>
        </is>
      </c>
      <c r="D126" t="inlineStr">
        <is>
          <t>I like it</t>
        </is>
      </c>
      <c r="E126" t="inlineStr">
        <is>
          <t>I dislike it</t>
        </is>
      </c>
      <c r="F126" t="inlineStr">
        <is>
          <t>I like it</t>
        </is>
      </c>
      <c r="G126" t="inlineStr">
        <is>
          <t>I dislike it</t>
        </is>
      </c>
      <c r="H126" t="inlineStr">
        <is>
          <t>I dislike it</t>
        </is>
      </c>
      <c r="I126" t="inlineStr">
        <is>
          <t>I like it</t>
        </is>
      </c>
      <c r="J126" t="inlineStr">
        <is>
          <t>I like it</t>
        </is>
      </c>
      <c r="K126" t="inlineStr">
        <is>
          <t>I expect it</t>
        </is>
      </c>
      <c r="L126" t="inlineStr">
        <is>
          <t>I dislike it</t>
        </is>
      </c>
      <c r="M126" t="inlineStr">
        <is>
          <t>I'm neutral</t>
        </is>
      </c>
    </row>
    <row r="127">
      <c r="A127" s="18" t="n">
        <v>46283.79097222222</v>
      </c>
      <c r="B127" t="inlineStr">
        <is>
          <t>I like it</t>
        </is>
      </c>
      <c r="C127" t="inlineStr">
        <is>
          <t>I dislike it</t>
        </is>
      </c>
      <c r="D127" t="inlineStr">
        <is>
          <t>I expect it</t>
        </is>
      </c>
      <c r="E127" t="inlineStr">
        <is>
          <t>I dislike it</t>
        </is>
      </c>
      <c r="F127" t="inlineStr">
        <is>
          <t>I like it</t>
        </is>
      </c>
      <c r="G127" t="inlineStr">
        <is>
          <t>I'm neutral</t>
        </is>
      </c>
      <c r="H127" t="inlineStr">
        <is>
          <t>I like it</t>
        </is>
      </c>
      <c r="I127" t="inlineStr">
        <is>
          <t>I can tolerate it</t>
        </is>
      </c>
      <c r="J127" t="inlineStr">
        <is>
          <t>I like it</t>
        </is>
      </c>
      <c r="K127" t="inlineStr">
        <is>
          <t>I dislike it</t>
        </is>
      </c>
      <c r="L127" t="inlineStr">
        <is>
          <t>I like it</t>
        </is>
      </c>
      <c r="M127" t="inlineStr">
        <is>
          <t>I can tolerate it</t>
        </is>
      </c>
    </row>
    <row r="128">
      <c r="A128" s="18" t="n">
        <v>46283.79444444444</v>
      </c>
      <c r="B128" t="inlineStr">
        <is>
          <t>I'm neutral</t>
        </is>
      </c>
      <c r="C128" t="inlineStr">
        <is>
          <t>I'm neutral</t>
        </is>
      </c>
      <c r="D128" t="inlineStr">
        <is>
          <t>I like it</t>
        </is>
      </c>
      <c r="E128" t="inlineStr">
        <is>
          <t>I'm neutral</t>
        </is>
      </c>
      <c r="F128" t="inlineStr">
        <is>
          <t>I'm neutral</t>
        </is>
      </c>
      <c r="G128" t="inlineStr">
        <is>
          <t>I'm neutral</t>
        </is>
      </c>
      <c r="H128" t="inlineStr">
        <is>
          <t>I expect it</t>
        </is>
      </c>
      <c r="I128" t="inlineStr">
        <is>
          <t>I dislike it</t>
        </is>
      </c>
      <c r="J128" t="inlineStr">
        <is>
          <t>I can tolerate it</t>
        </is>
      </c>
      <c r="K128" t="inlineStr">
        <is>
          <t>I can tolerate it</t>
        </is>
      </c>
      <c r="L128" t="inlineStr">
        <is>
          <t>I dislike it</t>
        </is>
      </c>
      <c r="M128" t="inlineStr">
        <is>
          <t>I can tolerate it</t>
        </is>
      </c>
    </row>
    <row r="129">
      <c r="A129" s="18" t="n">
        <v>46283.8375</v>
      </c>
      <c r="B129" t="inlineStr">
        <is>
          <t>I like it</t>
        </is>
      </c>
      <c r="C129" t="inlineStr">
        <is>
          <t>I dislike it</t>
        </is>
      </c>
      <c r="D129" t="inlineStr">
        <is>
          <t>I like it</t>
        </is>
      </c>
      <c r="E129" t="inlineStr">
        <is>
          <t>I dislike it</t>
        </is>
      </c>
      <c r="F129" t="inlineStr">
        <is>
          <t>I like it</t>
        </is>
      </c>
      <c r="G129" t="inlineStr">
        <is>
          <t>I'm neutral</t>
        </is>
      </c>
      <c r="H129" t="inlineStr">
        <is>
          <t>I can tolerate it</t>
        </is>
      </c>
      <c r="I129" t="inlineStr">
        <is>
          <t>I'm neutral</t>
        </is>
      </c>
      <c r="J129" t="inlineStr">
        <is>
          <t>I like it</t>
        </is>
      </c>
      <c r="K129" t="inlineStr">
        <is>
          <t>I dislike it</t>
        </is>
      </c>
      <c r="L129" t="inlineStr">
        <is>
          <t>I can tolerate it</t>
        </is>
      </c>
      <c r="M129" t="inlineStr">
        <is>
          <t>I like it</t>
        </is>
      </c>
    </row>
    <row r="130">
      <c r="A130" s="18" t="n">
        <v>46283.87083333333</v>
      </c>
      <c r="B130" t="inlineStr">
        <is>
          <t>I can tolerate it</t>
        </is>
      </c>
      <c r="C130" t="inlineStr">
        <is>
          <t>I dislike it</t>
        </is>
      </c>
      <c r="D130" t="inlineStr">
        <is>
          <t>I'm neutral</t>
        </is>
      </c>
      <c r="E130" t="inlineStr">
        <is>
          <t>I'm neutral</t>
        </is>
      </c>
      <c r="F130" t="inlineStr">
        <is>
          <t>I can tolerate it</t>
        </is>
      </c>
      <c r="G130" t="inlineStr">
        <is>
          <t>I'm neutral</t>
        </is>
      </c>
      <c r="H130" t="inlineStr">
        <is>
          <t>I'm neutral</t>
        </is>
      </c>
      <c r="I130" t="inlineStr">
        <is>
          <t>I dislike it</t>
        </is>
      </c>
      <c r="J130" t="inlineStr">
        <is>
          <t>I'm neutral</t>
        </is>
      </c>
      <c r="K130" t="inlineStr">
        <is>
          <t>I'm neutral</t>
        </is>
      </c>
      <c r="L130" t="inlineStr">
        <is>
          <t>I like it</t>
        </is>
      </c>
      <c r="M130" t="inlineStr">
        <is>
          <t>I'm neutral</t>
        </is>
      </c>
    </row>
    <row r="131">
      <c r="A131" s="18" t="n">
        <v>46283.8875</v>
      </c>
      <c r="B131" t="inlineStr">
        <is>
          <t>I like it</t>
        </is>
      </c>
      <c r="C131" t="inlineStr">
        <is>
          <t>I dislike it</t>
        </is>
      </c>
      <c r="D131" t="inlineStr">
        <is>
          <t>I like it</t>
        </is>
      </c>
      <c r="E131" t="inlineStr">
        <is>
          <t>I dislike it</t>
        </is>
      </c>
      <c r="F131" t="inlineStr">
        <is>
          <t>I like it</t>
        </is>
      </c>
      <c r="G131" t="inlineStr">
        <is>
          <t>I dislike it</t>
        </is>
      </c>
      <c r="H131" t="inlineStr">
        <is>
          <t>I'm neutral</t>
        </is>
      </c>
      <c r="I131" t="inlineStr">
        <is>
          <t>I'm neutral</t>
        </is>
      </c>
      <c r="J131" t="inlineStr">
        <is>
          <t>I can tolerate it</t>
        </is>
      </c>
      <c r="K131" t="inlineStr">
        <is>
          <t>I'm neutral</t>
        </is>
      </c>
      <c r="L131" t="inlineStr">
        <is>
          <t>I expect it</t>
        </is>
      </c>
      <c r="M131" t="inlineStr">
        <is>
          <t>I'm neutral</t>
        </is>
      </c>
    </row>
    <row r="132">
      <c r="A132" s="18" t="n">
        <v>46283.94375</v>
      </c>
      <c r="B132" t="inlineStr">
        <is>
          <t>I expect it</t>
        </is>
      </c>
      <c r="C132" t="inlineStr">
        <is>
          <t>I dislike it</t>
        </is>
      </c>
      <c r="D132" t="inlineStr">
        <is>
          <t>I like it</t>
        </is>
      </c>
      <c r="E132" t="inlineStr">
        <is>
          <t>I can tolerate it</t>
        </is>
      </c>
      <c r="F132" t="inlineStr">
        <is>
          <t>I expect it</t>
        </is>
      </c>
      <c r="G132" t="inlineStr">
        <is>
          <t>I dislike it</t>
        </is>
      </c>
      <c r="H132" t="inlineStr">
        <is>
          <t>I'm neutral</t>
        </is>
      </c>
      <c r="I132" t="inlineStr">
        <is>
          <t>I'm neutral</t>
        </is>
      </c>
      <c r="J132" t="inlineStr">
        <is>
          <t>I can tolerate it</t>
        </is>
      </c>
      <c r="K132" t="inlineStr">
        <is>
          <t>I'm neutral</t>
        </is>
      </c>
      <c r="L132" t="inlineStr">
        <is>
          <t>I dislike it</t>
        </is>
      </c>
      <c r="M132" t="inlineStr">
        <is>
          <t>I'm neutral</t>
        </is>
      </c>
    </row>
    <row r="133">
      <c r="A133" s="18" t="n">
        <v>46283.95555555556</v>
      </c>
      <c r="B133" t="inlineStr">
        <is>
          <t>I like it</t>
        </is>
      </c>
      <c r="C133" t="inlineStr">
        <is>
          <t>I'm neutral</t>
        </is>
      </c>
      <c r="D133" t="inlineStr">
        <is>
          <t>I like it</t>
        </is>
      </c>
      <c r="E133" t="inlineStr">
        <is>
          <t>I dislike it</t>
        </is>
      </c>
      <c r="F133" t="inlineStr">
        <is>
          <t>I expect it</t>
        </is>
      </c>
      <c r="G133" t="inlineStr">
        <is>
          <t>I'm neutral</t>
        </is>
      </c>
      <c r="H133" t="inlineStr">
        <is>
          <t>I'm neutral</t>
        </is>
      </c>
      <c r="I133" t="inlineStr">
        <is>
          <t>I can tolerate it</t>
        </is>
      </c>
      <c r="J133" t="inlineStr">
        <is>
          <t>I like it</t>
        </is>
      </c>
      <c r="K133" t="inlineStr">
        <is>
          <t>I can tolerate it</t>
        </is>
      </c>
      <c r="L133" t="inlineStr">
        <is>
          <t>I'm neutral</t>
        </is>
      </c>
      <c r="M133" t="inlineStr">
        <is>
          <t>I can tolerate it</t>
        </is>
      </c>
    </row>
    <row r="134">
      <c r="A134" s="18" t="n">
        <v>46284.00138888889</v>
      </c>
      <c r="B134" t="inlineStr">
        <is>
          <t>I like it</t>
        </is>
      </c>
      <c r="C134" t="inlineStr">
        <is>
          <t>I dislike it</t>
        </is>
      </c>
      <c r="D134" t="inlineStr">
        <is>
          <t>I like it</t>
        </is>
      </c>
      <c r="E134" t="inlineStr">
        <is>
          <t>I dislike it</t>
        </is>
      </c>
      <c r="F134" t="inlineStr">
        <is>
          <t>I like it</t>
        </is>
      </c>
      <c r="G134" t="inlineStr">
        <is>
          <t>I'm neutral</t>
        </is>
      </c>
      <c r="H134" t="inlineStr">
        <is>
          <t>I'm neutral</t>
        </is>
      </c>
      <c r="I134" t="inlineStr">
        <is>
          <t>I'm neutral</t>
        </is>
      </c>
      <c r="J134" t="inlineStr">
        <is>
          <t>I'm neutral</t>
        </is>
      </c>
      <c r="K134" t="inlineStr">
        <is>
          <t>I'm neutral</t>
        </is>
      </c>
      <c r="L134" t="inlineStr">
        <is>
          <t>I dislike it</t>
        </is>
      </c>
      <c r="M134" t="inlineStr">
        <is>
          <t>I like it</t>
        </is>
      </c>
    </row>
    <row r="135">
      <c r="A135" s="18" t="n">
        <v>46284.00833333333</v>
      </c>
      <c r="B135" t="inlineStr">
        <is>
          <t>I like it</t>
        </is>
      </c>
      <c r="C135" t="inlineStr">
        <is>
          <t>I dislike it</t>
        </is>
      </c>
      <c r="D135" t="inlineStr">
        <is>
          <t>I like it</t>
        </is>
      </c>
      <c r="E135" t="inlineStr">
        <is>
          <t>I dislike it</t>
        </is>
      </c>
      <c r="F135" t="inlineStr">
        <is>
          <t>I like it</t>
        </is>
      </c>
      <c r="G135" t="inlineStr">
        <is>
          <t>I dislike it</t>
        </is>
      </c>
      <c r="H135" t="inlineStr">
        <is>
          <t>I expect it</t>
        </is>
      </c>
      <c r="I135" t="inlineStr">
        <is>
          <t>I'm neutral</t>
        </is>
      </c>
      <c r="J135" t="inlineStr">
        <is>
          <t>I can tolerate it</t>
        </is>
      </c>
      <c r="K135" t="inlineStr">
        <is>
          <t>I dislike it</t>
        </is>
      </c>
      <c r="L135" t="inlineStr">
        <is>
          <t>I'm neutral</t>
        </is>
      </c>
      <c r="M135" t="inlineStr">
        <is>
          <t>I'm neutral</t>
        </is>
      </c>
    </row>
    <row r="136">
      <c r="A136" s="18" t="n">
        <v>46284.02916666667</v>
      </c>
      <c r="B136" t="inlineStr">
        <is>
          <t>I can tolerate it</t>
        </is>
      </c>
      <c r="C136" t="inlineStr">
        <is>
          <t>I dislike it</t>
        </is>
      </c>
      <c r="D136" t="inlineStr">
        <is>
          <t>I like it</t>
        </is>
      </c>
      <c r="E136" t="inlineStr">
        <is>
          <t>I'm neutral</t>
        </is>
      </c>
      <c r="F136" t="inlineStr">
        <is>
          <t>I like it</t>
        </is>
      </c>
      <c r="G136" t="inlineStr">
        <is>
          <t>I'm neutral</t>
        </is>
      </c>
      <c r="H136" t="inlineStr">
        <is>
          <t>I like it</t>
        </is>
      </c>
      <c r="I136" t="inlineStr">
        <is>
          <t>I'm neutral</t>
        </is>
      </c>
      <c r="J136" t="inlineStr">
        <is>
          <t>I'm neutral</t>
        </is>
      </c>
      <c r="K136" t="inlineStr">
        <is>
          <t>I can tolerate it</t>
        </is>
      </c>
      <c r="L136" t="inlineStr">
        <is>
          <t>I'm neutral</t>
        </is>
      </c>
      <c r="M136" t="inlineStr">
        <is>
          <t>I'm neutral</t>
        </is>
      </c>
    </row>
    <row r="137">
      <c r="A137" s="18" t="n">
        <v>46284.05625</v>
      </c>
      <c r="B137" t="inlineStr">
        <is>
          <t>I expect it</t>
        </is>
      </c>
      <c r="C137" t="inlineStr">
        <is>
          <t>I dislike it</t>
        </is>
      </c>
      <c r="D137" t="inlineStr">
        <is>
          <t>I like it</t>
        </is>
      </c>
      <c r="E137" t="inlineStr">
        <is>
          <t>I dislike it</t>
        </is>
      </c>
      <c r="F137" t="inlineStr">
        <is>
          <t>I expect it</t>
        </is>
      </c>
      <c r="G137" t="inlineStr">
        <is>
          <t>I expect it</t>
        </is>
      </c>
      <c r="H137" t="inlineStr">
        <is>
          <t>I expect it</t>
        </is>
      </c>
      <c r="I137" t="inlineStr">
        <is>
          <t>I'm neutral</t>
        </is>
      </c>
      <c r="J137" t="inlineStr">
        <is>
          <t>I'm neutral</t>
        </is>
      </c>
      <c r="K137" t="inlineStr">
        <is>
          <t>I can tolerate it</t>
        </is>
      </c>
      <c r="L137" t="inlineStr">
        <is>
          <t>I'm neutral</t>
        </is>
      </c>
      <c r="M137" t="inlineStr">
        <is>
          <t>I'm neutral</t>
        </is>
      </c>
    </row>
    <row r="138">
      <c r="A138" s="18" t="n">
        <v>46284.06944444445</v>
      </c>
      <c r="B138" t="inlineStr">
        <is>
          <t>I can tolerate it</t>
        </is>
      </c>
      <c r="C138" t="inlineStr">
        <is>
          <t>I dislike it</t>
        </is>
      </c>
      <c r="D138" t="inlineStr">
        <is>
          <t>I like it</t>
        </is>
      </c>
      <c r="E138" t="inlineStr">
        <is>
          <t>I dislike it</t>
        </is>
      </c>
      <c r="F138" t="inlineStr">
        <is>
          <t>I like it</t>
        </is>
      </c>
      <c r="G138" t="inlineStr">
        <is>
          <t>I dislike it</t>
        </is>
      </c>
      <c r="H138" t="inlineStr">
        <is>
          <t>I like it</t>
        </is>
      </c>
      <c r="I138" t="inlineStr">
        <is>
          <t>I can tolerate it</t>
        </is>
      </c>
      <c r="J138" t="inlineStr">
        <is>
          <t>I can tolerate it</t>
        </is>
      </c>
      <c r="K138" t="inlineStr">
        <is>
          <t>I like it</t>
        </is>
      </c>
      <c r="L138" t="inlineStr">
        <is>
          <t>I expect it</t>
        </is>
      </c>
      <c r="M138" t="inlineStr">
        <is>
          <t>I dislike it</t>
        </is>
      </c>
    </row>
    <row r="139">
      <c r="A139" s="18" t="n">
        <v>46284.09305555555</v>
      </c>
      <c r="B139" t="inlineStr">
        <is>
          <t>I like it</t>
        </is>
      </c>
      <c r="C139" t="inlineStr">
        <is>
          <t>I dislike it</t>
        </is>
      </c>
      <c r="D139" t="inlineStr">
        <is>
          <t>I can tolerate it</t>
        </is>
      </c>
      <c r="E139" t="inlineStr">
        <is>
          <t>I dislike it</t>
        </is>
      </c>
      <c r="F139" t="inlineStr">
        <is>
          <t>I like it</t>
        </is>
      </c>
      <c r="G139" t="inlineStr">
        <is>
          <t>I'm neutral</t>
        </is>
      </c>
      <c r="H139" t="inlineStr">
        <is>
          <t>I like it</t>
        </is>
      </c>
      <c r="I139" t="inlineStr">
        <is>
          <t>I dislike it</t>
        </is>
      </c>
      <c r="J139" t="inlineStr">
        <is>
          <t>I like it</t>
        </is>
      </c>
      <c r="K139" t="inlineStr">
        <is>
          <t>I'm neutral</t>
        </is>
      </c>
      <c r="L139" t="inlineStr">
        <is>
          <t>I like it</t>
        </is>
      </c>
      <c r="M139" t="inlineStr">
        <is>
          <t>I'm neutral</t>
        </is>
      </c>
    </row>
    <row r="140">
      <c r="A140" s="18" t="n">
        <v>46284.12986111111</v>
      </c>
      <c r="B140" t="inlineStr">
        <is>
          <t>I like it</t>
        </is>
      </c>
      <c r="C140" t="inlineStr">
        <is>
          <t>I'm neutral</t>
        </is>
      </c>
      <c r="D140" t="inlineStr">
        <is>
          <t>I'm neutral</t>
        </is>
      </c>
      <c r="E140" t="inlineStr">
        <is>
          <t>I'm neutral</t>
        </is>
      </c>
      <c r="F140" t="inlineStr">
        <is>
          <t>I like it</t>
        </is>
      </c>
      <c r="G140" t="inlineStr">
        <is>
          <t>I'm neutral</t>
        </is>
      </c>
      <c r="H140" t="inlineStr">
        <is>
          <t>I like it</t>
        </is>
      </c>
      <c r="I140" t="inlineStr">
        <is>
          <t>I'm neutral</t>
        </is>
      </c>
      <c r="J140" t="inlineStr">
        <is>
          <t>I expect it</t>
        </is>
      </c>
      <c r="K140" t="inlineStr">
        <is>
          <t>I expect it</t>
        </is>
      </c>
      <c r="L140" t="inlineStr">
        <is>
          <t>I'm neutral</t>
        </is>
      </c>
      <c r="M140" t="inlineStr">
        <is>
          <t>I'm neutral</t>
        </is>
      </c>
    </row>
    <row r="141">
      <c r="A141" s="18" t="n">
        <v>46284.16666666666</v>
      </c>
      <c r="B141" t="inlineStr">
        <is>
          <t>I'm neutral</t>
        </is>
      </c>
      <c r="C141" t="inlineStr">
        <is>
          <t>I'm neutral</t>
        </is>
      </c>
      <c r="D141" t="inlineStr">
        <is>
          <t>I like it</t>
        </is>
      </c>
      <c r="E141" t="inlineStr">
        <is>
          <t>I'm neutral</t>
        </is>
      </c>
      <c r="F141" t="inlineStr">
        <is>
          <t>I like it</t>
        </is>
      </c>
      <c r="G141" t="inlineStr">
        <is>
          <t>I expect it</t>
        </is>
      </c>
      <c r="H141" t="inlineStr">
        <is>
          <t>I like it</t>
        </is>
      </c>
      <c r="I141" t="inlineStr">
        <is>
          <t>I'm neutral</t>
        </is>
      </c>
      <c r="J141" t="inlineStr">
        <is>
          <t>I expect it</t>
        </is>
      </c>
      <c r="K141" t="inlineStr">
        <is>
          <t>I expect it</t>
        </is>
      </c>
      <c r="L141" t="inlineStr">
        <is>
          <t>I dislike it</t>
        </is>
      </c>
      <c r="M141" t="inlineStr">
        <is>
          <t>I like it</t>
        </is>
      </c>
    </row>
    <row r="142">
      <c r="A142" s="18" t="n">
        <v>46284.2125</v>
      </c>
      <c r="B142" t="inlineStr">
        <is>
          <t>I like it</t>
        </is>
      </c>
      <c r="C142" t="inlineStr">
        <is>
          <t>I dislike it</t>
        </is>
      </c>
      <c r="D142" t="inlineStr">
        <is>
          <t>I like it</t>
        </is>
      </c>
      <c r="E142" t="inlineStr">
        <is>
          <t>I dislike it</t>
        </is>
      </c>
      <c r="F142" t="inlineStr">
        <is>
          <t>I like it</t>
        </is>
      </c>
      <c r="G142" t="inlineStr">
        <is>
          <t>I'm neutral</t>
        </is>
      </c>
      <c r="H142" t="inlineStr">
        <is>
          <t>I like it</t>
        </is>
      </c>
      <c r="I142" t="inlineStr">
        <is>
          <t>I can tolerate it</t>
        </is>
      </c>
      <c r="J142" t="inlineStr">
        <is>
          <t>I'm neutral</t>
        </is>
      </c>
      <c r="K142" t="inlineStr">
        <is>
          <t>I'm neutral</t>
        </is>
      </c>
      <c r="L142" t="inlineStr">
        <is>
          <t>I expect it</t>
        </is>
      </c>
      <c r="M142" t="inlineStr">
        <is>
          <t>I dislike it</t>
        </is>
      </c>
    </row>
    <row r="143">
      <c r="A143" s="18" t="n">
        <v>46284.22152777778</v>
      </c>
      <c r="B143" t="inlineStr">
        <is>
          <t>I like it</t>
        </is>
      </c>
      <c r="C143" t="inlineStr">
        <is>
          <t>I'm neutral</t>
        </is>
      </c>
      <c r="D143" t="inlineStr">
        <is>
          <t>I like it</t>
        </is>
      </c>
      <c r="E143" t="inlineStr">
        <is>
          <t>I dislike it</t>
        </is>
      </c>
      <c r="F143" t="inlineStr">
        <is>
          <t>I like it</t>
        </is>
      </c>
      <c r="G143" t="inlineStr">
        <is>
          <t>I dislike it</t>
        </is>
      </c>
      <c r="H143" t="inlineStr">
        <is>
          <t>I can tolerate it</t>
        </is>
      </c>
      <c r="I143" t="inlineStr">
        <is>
          <t>I'm neutral</t>
        </is>
      </c>
      <c r="J143" t="inlineStr">
        <is>
          <t>I expect it</t>
        </is>
      </c>
      <c r="K143" t="inlineStr">
        <is>
          <t>I expect it</t>
        </is>
      </c>
      <c r="L143" t="inlineStr">
        <is>
          <t>I'm neutral</t>
        </is>
      </c>
      <c r="M143" t="inlineStr">
        <is>
          <t>I like it</t>
        </is>
      </c>
    </row>
    <row r="144">
      <c r="A144" s="18" t="n">
        <v>46284.23819444444</v>
      </c>
      <c r="B144" t="inlineStr">
        <is>
          <t>I'm neutral</t>
        </is>
      </c>
      <c r="C144" t="inlineStr">
        <is>
          <t>I dislike it</t>
        </is>
      </c>
      <c r="D144" t="inlineStr">
        <is>
          <t>I like it</t>
        </is>
      </c>
      <c r="E144" t="inlineStr">
        <is>
          <t>I dislike it</t>
        </is>
      </c>
      <c r="F144" t="inlineStr">
        <is>
          <t>I like it</t>
        </is>
      </c>
      <c r="G144" t="inlineStr">
        <is>
          <t>I can tolerate it</t>
        </is>
      </c>
      <c r="H144" t="inlineStr">
        <is>
          <t>I can tolerate it</t>
        </is>
      </c>
      <c r="I144" t="inlineStr">
        <is>
          <t>I can tolerate it</t>
        </is>
      </c>
      <c r="J144" t="inlineStr">
        <is>
          <t>I like it</t>
        </is>
      </c>
      <c r="K144" t="inlineStr">
        <is>
          <t>I'm neutral</t>
        </is>
      </c>
      <c r="L144" t="inlineStr">
        <is>
          <t>I expect it</t>
        </is>
      </c>
      <c r="M144" t="inlineStr">
        <is>
          <t>I'm neutral</t>
        </is>
      </c>
    </row>
    <row r="145">
      <c r="A145" s="18" t="n">
        <v>46284.27986111111</v>
      </c>
      <c r="B145" t="inlineStr">
        <is>
          <t>I like it</t>
        </is>
      </c>
      <c r="C145" t="inlineStr">
        <is>
          <t>I expect it</t>
        </is>
      </c>
      <c r="D145" t="inlineStr">
        <is>
          <t>I expect it</t>
        </is>
      </c>
      <c r="E145" t="inlineStr">
        <is>
          <t>I'm neutral</t>
        </is>
      </c>
      <c r="F145" t="inlineStr">
        <is>
          <t>I like it</t>
        </is>
      </c>
      <c r="G145" t="inlineStr">
        <is>
          <t>I dislike it</t>
        </is>
      </c>
      <c r="H145" t="inlineStr">
        <is>
          <t>I'm neutral</t>
        </is>
      </c>
      <c r="I145" t="inlineStr">
        <is>
          <t>I'm neutral</t>
        </is>
      </c>
      <c r="J145" t="inlineStr">
        <is>
          <t>I like it</t>
        </is>
      </c>
      <c r="K145" t="inlineStr">
        <is>
          <t>I'm neutral</t>
        </is>
      </c>
      <c r="L145" t="inlineStr">
        <is>
          <t>I expect it</t>
        </is>
      </c>
      <c r="M145" t="inlineStr">
        <is>
          <t>I dislike it</t>
        </is>
      </c>
    </row>
    <row r="146">
      <c r="A146" s="18" t="n">
        <v>46284.31736111111</v>
      </c>
      <c r="B146" t="inlineStr">
        <is>
          <t>I like it</t>
        </is>
      </c>
      <c r="C146" t="inlineStr">
        <is>
          <t>I expect it</t>
        </is>
      </c>
      <c r="D146" t="inlineStr">
        <is>
          <t>I like it</t>
        </is>
      </c>
      <c r="E146" t="inlineStr">
        <is>
          <t>I dislike it</t>
        </is>
      </c>
      <c r="F146" t="inlineStr">
        <is>
          <t>I'm neutral</t>
        </is>
      </c>
      <c r="G146" t="inlineStr">
        <is>
          <t>I'm neutral</t>
        </is>
      </c>
      <c r="H146" t="inlineStr">
        <is>
          <t>I'm neutral</t>
        </is>
      </c>
      <c r="I146" t="inlineStr">
        <is>
          <t>I can tolerate it</t>
        </is>
      </c>
      <c r="J146" t="inlineStr">
        <is>
          <t>I like it</t>
        </is>
      </c>
      <c r="K146" t="inlineStr">
        <is>
          <t>I'm neutral</t>
        </is>
      </c>
      <c r="L146" t="inlineStr">
        <is>
          <t>I expect it</t>
        </is>
      </c>
      <c r="M146" t="inlineStr">
        <is>
          <t>I expect it</t>
        </is>
      </c>
    </row>
    <row r="147">
      <c r="A147" s="18" t="n">
        <v>46284.36805555555</v>
      </c>
      <c r="B147" t="inlineStr">
        <is>
          <t>I like it</t>
        </is>
      </c>
      <c r="C147" t="inlineStr">
        <is>
          <t>I'm neutral</t>
        </is>
      </c>
      <c r="D147" t="inlineStr">
        <is>
          <t>I like it</t>
        </is>
      </c>
      <c r="E147" t="inlineStr">
        <is>
          <t>I dislike it</t>
        </is>
      </c>
      <c r="F147" t="inlineStr">
        <is>
          <t>I expect it</t>
        </is>
      </c>
      <c r="G147" t="inlineStr">
        <is>
          <t>I'm neutral</t>
        </is>
      </c>
      <c r="H147" t="inlineStr">
        <is>
          <t>I like it</t>
        </is>
      </c>
      <c r="I147" t="inlineStr">
        <is>
          <t>I dislike it</t>
        </is>
      </c>
      <c r="J147" t="inlineStr">
        <is>
          <t>I like it</t>
        </is>
      </c>
      <c r="K147" t="inlineStr">
        <is>
          <t>I'm neutral</t>
        </is>
      </c>
      <c r="L147" t="inlineStr">
        <is>
          <t>I can tolerate it</t>
        </is>
      </c>
      <c r="M147" t="inlineStr">
        <is>
          <t>I like it</t>
        </is>
      </c>
    </row>
    <row r="148">
      <c r="A148" s="18" t="n">
        <v>46284.39444444444</v>
      </c>
      <c r="B148" t="inlineStr">
        <is>
          <t>I can tolerate it</t>
        </is>
      </c>
      <c r="C148" t="inlineStr">
        <is>
          <t>I dislike it</t>
        </is>
      </c>
      <c r="D148" t="inlineStr">
        <is>
          <t>I like it</t>
        </is>
      </c>
      <c r="E148" t="inlineStr">
        <is>
          <t>I dislike it</t>
        </is>
      </c>
      <c r="F148" t="inlineStr">
        <is>
          <t>I like it</t>
        </is>
      </c>
      <c r="G148" t="inlineStr">
        <is>
          <t>I can tolerate it</t>
        </is>
      </c>
      <c r="H148" t="inlineStr">
        <is>
          <t>I can tolerate it</t>
        </is>
      </c>
      <c r="I148" t="inlineStr">
        <is>
          <t>I can tolerate it</t>
        </is>
      </c>
      <c r="J148" t="inlineStr">
        <is>
          <t>I expect it</t>
        </is>
      </c>
      <c r="K148" t="inlineStr">
        <is>
          <t>I dislike it</t>
        </is>
      </c>
      <c r="L148" t="inlineStr">
        <is>
          <t>I like it</t>
        </is>
      </c>
      <c r="M148" t="inlineStr">
        <is>
          <t>I dislike it</t>
        </is>
      </c>
    </row>
    <row r="149">
      <c r="A149" s="18" t="n">
        <v>46284.40833333333</v>
      </c>
      <c r="B149" t="inlineStr">
        <is>
          <t>I'm neutral</t>
        </is>
      </c>
      <c r="C149" t="inlineStr">
        <is>
          <t>I dislike it</t>
        </is>
      </c>
      <c r="D149" t="inlineStr">
        <is>
          <t>I expect it</t>
        </is>
      </c>
      <c r="E149" t="inlineStr">
        <is>
          <t>I'm neutral</t>
        </is>
      </c>
      <c r="F149" t="inlineStr">
        <is>
          <t>I like it</t>
        </is>
      </c>
      <c r="G149" t="inlineStr">
        <is>
          <t>I'm neutral</t>
        </is>
      </c>
      <c r="H149" t="inlineStr">
        <is>
          <t>I'm neutral</t>
        </is>
      </c>
      <c r="I149" t="inlineStr">
        <is>
          <t>I dislike it</t>
        </is>
      </c>
      <c r="J149" t="inlineStr">
        <is>
          <t>I'm neutral</t>
        </is>
      </c>
      <c r="K149" t="inlineStr">
        <is>
          <t>I can tolerate it</t>
        </is>
      </c>
      <c r="L149" t="inlineStr">
        <is>
          <t>I dislike it</t>
        </is>
      </c>
      <c r="M149" t="inlineStr">
        <is>
          <t>I can tolerate it</t>
        </is>
      </c>
    </row>
    <row r="150">
      <c r="A150" s="18" t="n">
        <v>46284.44861111111</v>
      </c>
      <c r="B150" t="inlineStr">
        <is>
          <t>I expect it</t>
        </is>
      </c>
      <c r="C150" t="inlineStr">
        <is>
          <t>I dislike it</t>
        </is>
      </c>
      <c r="D150" t="inlineStr">
        <is>
          <t>I like it</t>
        </is>
      </c>
      <c r="E150" t="inlineStr">
        <is>
          <t>I dislike it</t>
        </is>
      </c>
      <c r="F150" t="inlineStr">
        <is>
          <t>I like it</t>
        </is>
      </c>
      <c r="G150" t="inlineStr">
        <is>
          <t>I'm neutral</t>
        </is>
      </c>
      <c r="H150" t="inlineStr">
        <is>
          <t>I like it</t>
        </is>
      </c>
      <c r="I150" t="inlineStr">
        <is>
          <t>I dislike it</t>
        </is>
      </c>
      <c r="J150" t="inlineStr">
        <is>
          <t>I'm neutral</t>
        </is>
      </c>
      <c r="K150" t="inlineStr">
        <is>
          <t>I'm neutral</t>
        </is>
      </c>
      <c r="L150" t="inlineStr">
        <is>
          <t>I'm neutral</t>
        </is>
      </c>
      <c r="M150" t="inlineStr">
        <is>
          <t>I like it</t>
        </is>
      </c>
    </row>
    <row r="151">
      <c r="A151" s="18" t="n">
        <v>46284.49930555555</v>
      </c>
      <c r="B151" t="inlineStr">
        <is>
          <t>I can tolerate it</t>
        </is>
      </c>
      <c r="C151" t="inlineStr">
        <is>
          <t>I'm neutral</t>
        </is>
      </c>
      <c r="D151" t="inlineStr">
        <is>
          <t>I expect it</t>
        </is>
      </c>
      <c r="E151" t="inlineStr">
        <is>
          <t>I dislike it</t>
        </is>
      </c>
      <c r="F151" t="inlineStr">
        <is>
          <t>I like it</t>
        </is>
      </c>
      <c r="G151" t="inlineStr">
        <is>
          <t>I'm neutral</t>
        </is>
      </c>
      <c r="H151" t="inlineStr">
        <is>
          <t>I expect it</t>
        </is>
      </c>
      <c r="I151" t="inlineStr">
        <is>
          <t>I'm neutral</t>
        </is>
      </c>
      <c r="J151" t="inlineStr">
        <is>
          <t>I like it</t>
        </is>
      </c>
      <c r="K151" t="inlineStr">
        <is>
          <t>I'm neutral</t>
        </is>
      </c>
      <c r="L151" t="inlineStr">
        <is>
          <t>I like it</t>
        </is>
      </c>
      <c r="M151" t="inlineStr">
        <is>
          <t>I'm 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2026-10-20T15:24:19Z</dcterms:created>
  <dcterms:modified xmlns:dcterms="http://purl.org/dc/terms/" xmlns:xsi="http://www.w3.org/2001/XMLSchema-instance" xsi:type="dcterms:W3CDTF">2026-10-20T15:24:19Z</dcterms:modified>
</cp:coreProperties>
</file>