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11_DCBA6A33179DFE84330072DF9201BC7B3C2CC9D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art here" sheetId="1" r:id="rId1"/>
    <sheet name="Weekly review · Tallyrow" sheetId="2" r:id="rId2"/>
    <sheet name="Weekly review · your team" sheetId="3" r:id="rId3"/>
    <sheet name="Quarterly review · Tallyrow" sheetId="4" r:id="rId4"/>
    <sheet name="Quarterly review · your team" sheetId="5" r:id="rId5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3" l="1"/>
  <c r="H25" i="3"/>
  <c r="H24" i="3"/>
  <c r="H23" i="3"/>
  <c r="H22" i="3"/>
  <c r="H21" i="3"/>
  <c r="H20" i="3"/>
  <c r="H19" i="3"/>
  <c r="H18" i="3"/>
  <c r="H17" i="3"/>
  <c r="H16" i="3"/>
  <c r="H15" i="3"/>
  <c r="H14" i="3"/>
  <c r="H23" i="2"/>
  <c r="H22" i="2"/>
  <c r="H21" i="2"/>
  <c r="H20" i="2"/>
  <c r="H19" i="2"/>
  <c r="H18" i="2"/>
  <c r="H17" i="2"/>
  <c r="H16" i="2"/>
  <c r="H15" i="2"/>
  <c r="H14" i="2"/>
</calcChain>
</file>

<file path=xl/sharedStrings.xml><?xml version="1.0" encoding="utf-8"?>
<sst xmlns="http://schemas.openxmlformats.org/spreadsheetml/2006/main" count="114" uniqueCount="78">
  <si>
    <t>PRODUCT MANAGEMENT MODELS &amp; MEASUREMENTS · TEMPLATE</t>
  </si>
  <si>
    <t>Review cadence sheet</t>
  </si>
  <si>
    <t>A metric nobody looks at is decoration. This is the rhythm that keeps them honest.</t>
  </si>
  <si>
    <t>Weekly review · Tallyrow</t>
  </si>
  <si>
    <t>Weeks 1-10 of Tallyrow's dashboard, with week 10's review written up: the payment-failure guardrail trips.</t>
  </si>
  <si>
    <t>Weekly review · your team</t>
  </si>
  <si>
    <t>Set your guardrails, baselines, limits, owners and agreed responses first. Then one row a week.</t>
  </si>
  <si>
    <t>The four questions</t>
  </si>
  <si>
    <t>1 · What moved, and is it real? 2 · Is any guardrail near its limit? (the status column) 3 · Does any experiment need a decision? 4 · One action, with an owner.</t>
  </si>
  <si>
    <t>Quarterly review</t>
  </si>
  <si>
    <t>Did the outcomes we bet on move? Which bets paid back? What did we learn that changes next quarter's inputs?</t>
  </si>
  <si>
    <t>If it decays</t>
  </si>
  <si>
    <t>If the weekly review never changes a decision, change the review. Check every quarter that the definitions still hold.</t>
  </si>
  <si>
    <t>Tallyrow and every number in it are invented for teaching.</t>
  </si>
  <si>
    <t>WEEKLY REVIEW · TALLYROW</t>
  </si>
  <si>
    <t>What moved, is it real, and what do we do?</t>
  </si>
  <si>
    <t>Short and the same every week. Set the guardrail limits first; the status column flags anything near or over a limit.</t>
  </si>
  <si>
    <t>THE DASHBOARD'S GUARDRAILS (set once, before the target starts)</t>
  </si>
  <si>
    <t>Guardrail</t>
  </si>
  <si>
    <t>Baseline</t>
  </si>
  <si>
    <t>Limit</t>
  </si>
  <si>
    <t>Owner</t>
  </si>
  <si>
    <t>Agreed response if it trips</t>
  </si>
  <si>
    <t>Payment failure rate (%)</t>
  </si>
  <si>
    <t>Get Paid squad</t>
  </si>
  <si>
    <t>Escalate to the payment partner the same day; pause the link's new card flow</t>
  </si>
  <si>
    <t>Reminder opt-outs (%)</t>
  </si>
  <si>
    <t>Pause the reminder change behind it until the owner explains the rise</t>
  </si>
  <si>
    <t>Complaints per 10,000 invoices</t>
  </si>
  <si>
    <t>Support</t>
  </si>
  <si>
    <t>Owner reviews the change behind it before the next review</t>
  </si>
  <si>
    <t>Warn when within (%) of a limit</t>
  </si>
  <si>
    <t>THE WEEKLY LOG (one row per week: the four questions)</t>
  </si>
  <si>
    <t>Week</t>
  </si>
  <si>
    <t>North Star</t>
  </si>
  <si>
    <t>Input: paid through the link (%)</t>
  </si>
  <si>
    <t>Input: on-time rate (%)</t>
  </si>
  <si>
    <t>Payment failures (%)</t>
  </si>
  <si>
    <t>Opt-outs (%)</t>
  </si>
  <si>
    <t>Complaints per 10k</t>
  </si>
  <si>
    <t>2 · Guardrail status</t>
  </si>
  <si>
    <t>1 · What moved, and is it real?</t>
  </si>
  <si>
    <t>3 · Experiment needing a decision?</t>
  </si>
  <si>
    <t>4 · One action</t>
  </si>
  <si>
    <t>North Star up to 128,359; link share 29%. Payment failures 3.2% → 4.9%: real, the payment partner switched its card verification flow last week.</t>
  </si>
  <si>
    <t>Smart reminders test running; readout in week 13. No decision this week.</t>
  </si>
  <si>
    <t>Escalate to the payment partner today; pause the link's new card flow until failures are under 4%.</t>
  </si>
  <si>
    <t>Weeks with nothing to report get a status and a blank row: 'nothing to see here' is a valid review.</t>
  </si>
  <si>
    <t>WEEKLY REVIEW · YOUR TEAM</t>
  </si>
  <si>
    <t>QUARTERLY OUTCOME REVIEW · TALLYROW</t>
  </si>
  <si>
    <t>Did the bets pay back, and what changes next quarter?</t>
  </si>
  <si>
    <t>This review is the start of next quarter's planning: what you learn here changes the inputs.</t>
  </si>
  <si>
    <t>Bet</t>
  </si>
  <si>
    <t>Did the outcome we bet on move?</t>
  </si>
  <si>
    <t>Paid back?</t>
  </si>
  <si>
    <t>What we learned</t>
  </si>
  <si>
    <t>What changes next quarter's inputs</t>
  </si>
  <si>
    <t>Payment link</t>
  </si>
  <si>
    <t>Yes: share of invoices paid through the link 22% → 31%</t>
  </si>
  <si>
    <t>Yes</t>
  </si>
  <si>
    <t>Mobile clients click the link far less than desktop (49% vs 69%)</t>
  </si>
  <si>
    <t>A mobile fix, once design confirms the cause</t>
  </si>
  <si>
    <t>E-invoicing</t>
  </si>
  <si>
    <t>The newest market stayed legal</t>
  </si>
  <si>
    <t>Yes (compliance)</t>
  </si>
  <si>
    <t>The new format arrived without a due date and broke the on-time rate until the definition was fixed</t>
  </si>
  <si>
    <t>The mandate's next phase has a date; find its last safe start</t>
  </si>
  <si>
    <t>Smart reminders (test, then a minimal version)</t>
  </si>
  <si>
    <t>Flat: +0.9 points, interval −0.4 to +2.2</t>
  </si>
  <si>
    <t>Not yet</t>
  </si>
  <si>
    <t>Any effect for everyone is probably under about two points; agencies hinted at more (unplanned)</t>
  </si>
  <si>
    <t>Off by default; a planned agency test, no marketing claim</t>
  </si>
  <si>
    <t>Multi-currency (Won't this time)</t>
  </si>
  <si>
    <t>Not built</t>
  </si>
  <si>
    <t>—</t>
  </si>
  <si>
    <t>Agencies closest to loving Tallyrow ask for it; three deals now wait on it</t>
  </si>
  <si>
    <t>New inputs for the ranking</t>
  </si>
  <si>
    <t>QUARTERLY OUTCOME REVIEW · YOUR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</si>
</sst>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scheme val="minor"/>
    </font>
    <font>
      <b/>
      <sz val="8"/>
      <color rgb="FF2451D1"/>
      <name val="Inter"/>
    </font>
    <font>
      <b/>
      <sz val="16"/>
      <color rgb="FF1B1A21"/>
      <name val="Inter"/>
    </font>
    <font>
      <i/>
      <sz val="9"/>
      <color rgb="FF5B5866"/>
      <name val="Inter"/>
    </font>
    <font>
      <b/>
      <sz val="10"/>
      <color rgb="FF1B1A21"/>
      <name val="Inter"/>
    </font>
    <font>
      <sz val="10"/>
      <color rgb="FF1B1A21"/>
      <name val="Inter"/>
    </font>
    <font>
      <b/>
      <sz val="9"/>
      <color rgb="FF2451D1"/>
      <name val="Inter"/>
    </font>
    <font>
      <b/>
      <sz val="8"/>
      <color rgb="FFFFFFFF"/>
      <name val="Inter"/>
    </font>
  </fonts>
  <fills count="5">
    <fill>
      <patternFill patternType="none"/>
    </fill>
    <fill>
      <patternFill patternType="gray125"/>
    </fill>
    <fill>
      <patternFill patternType="solid">
        <fgColor rgb="FF2451D1"/>
      </patternFill>
    </fill>
    <fill>
      <patternFill patternType="solid">
        <fgColor rgb="FFFFFFFE"/>
      </patternFill>
    </fill>
    <fill>
      <patternFill patternType="solid">
        <fgColor rgb="FFECE8DF"/>
      </patternFill>
    </fill>
  </fills>
  <borders count="4">
    <border>
      <left/>
      <right/>
      <top/>
      <bottom/>
      <diagonal/>
    </border>
    <border>
      <left style="thin">
        <color rgb="FFCFCBC2"/>
      </left>
      <right style="thin">
        <color rgb="FFCFCBC2"/>
      </right>
      <top style="thin">
        <color rgb="FFCFCBC2"/>
      </top>
      <bottom style="thin">
        <color rgb="FFCFCBC2"/>
      </bottom>
      <diagonal/>
    </border>
    <border>
      <left/>
      <right/>
      <top style="thin">
        <color rgb="FFCFCBC2"/>
      </top>
      <bottom style="thin">
        <color rgb="FFCFCBC2"/>
      </bottom>
      <diagonal/>
    </border>
    <border>
      <left/>
      <right style="thin">
        <color rgb="FFCFCBC2"/>
      </right>
      <top style="thin">
        <color rgb="FFCFCBC2"/>
      </top>
      <bottom style="thin">
        <color rgb="FFCFCBC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7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2" fontId="5" fillId="3" borderId="1" xfId="0" applyNumberFormat="1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3" fontId="5" fillId="3" borderId="1" xfId="0" applyNumberFormat="1" applyFont="1" applyFill="1" applyBorder="1" applyAlignment="1">
      <alignment vertical="top" wrapText="1"/>
    </xf>
    <xf numFmtId="1" fontId="5" fillId="3" borderId="1" xfId="0" applyNumberFormat="1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7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top" wrapText="1"/>
    </xf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tabSelected="1" workbookViewId="0"/>
  </sheetViews>
  <sheetFormatPr defaultRowHeight="15"/>
  <cols>
    <col min="1" max="1" width="26" customWidth="1"/>
    <col min="2" max="2" width="96" customWidth="1"/>
  </cols>
  <sheetData>
    <row r="1" spans="1:2">
      <c r="A1" s="1" t="s">
        <v>0</v>
      </c>
    </row>
    <row r="2" spans="1:2" ht="24" customHeight="1">
      <c r="A2" s="2" t="s">
        <v>1</v>
      </c>
    </row>
    <row r="3" spans="1:2">
      <c r="A3" s="3" t="s">
        <v>2</v>
      </c>
    </row>
    <row r="5" spans="1:2" ht="32.1" customHeight="1">
      <c r="A5" s="4" t="s">
        <v>3</v>
      </c>
      <c r="B5" s="5" t="s">
        <v>4</v>
      </c>
    </row>
    <row r="6" spans="1:2" ht="32.1" customHeight="1">
      <c r="A6" s="4" t="s">
        <v>5</v>
      </c>
      <c r="B6" s="5" t="s">
        <v>6</v>
      </c>
    </row>
    <row r="7" spans="1:2" ht="32.1" customHeight="1">
      <c r="A7" s="4" t="s">
        <v>7</v>
      </c>
      <c r="B7" s="5" t="s">
        <v>8</v>
      </c>
    </row>
    <row r="8" spans="1:2" ht="32.1" customHeight="1">
      <c r="A8" s="4" t="s">
        <v>9</v>
      </c>
      <c r="B8" s="5" t="s">
        <v>10</v>
      </c>
    </row>
    <row r="9" spans="1:2" ht="32.1" customHeight="1">
      <c r="A9" s="4" t="s">
        <v>11</v>
      </c>
      <c r="B9" s="5" t="s">
        <v>12</v>
      </c>
    </row>
    <row r="11" spans="1:2">
      <c r="A11" s="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showGridLines="0" workbookViewId="0"/>
  </sheetViews>
  <sheetFormatPr defaultRowHeight="15"/>
  <cols>
    <col min="1" max="1" width="9" customWidth="1"/>
    <col min="2" max="2" width="15" customWidth="1"/>
    <col min="3" max="4" width="12" customWidth="1"/>
    <col min="5" max="7" width="13" customWidth="1"/>
    <col min="8" max="8" width="22" customWidth="1"/>
    <col min="9" max="9" width="34" customWidth="1"/>
    <col min="10" max="10" width="26" customWidth="1"/>
    <col min="11" max="11" width="34" customWidth="1"/>
    <col min="12" max="12" width="18" customWidth="1"/>
  </cols>
  <sheetData>
    <row r="1" spans="1:12">
      <c r="A1" s="1" t="s">
        <v>14</v>
      </c>
    </row>
    <row r="2" spans="1:12" ht="24" customHeight="1">
      <c r="A2" s="2" t="s">
        <v>15</v>
      </c>
    </row>
    <row r="3" spans="1:12">
      <c r="A3" s="3" t="s">
        <v>16</v>
      </c>
    </row>
    <row r="5" spans="1:12">
      <c r="A5" s="6" t="s">
        <v>17</v>
      </c>
    </row>
    <row r="6" spans="1:12" ht="26.1" customHeight="1">
      <c r="B6" s="7" t="s">
        <v>18</v>
      </c>
      <c r="C6" s="7" t="s">
        <v>19</v>
      </c>
      <c r="D6" s="7" t="s">
        <v>20</v>
      </c>
      <c r="E6" s="7" t="s">
        <v>21</v>
      </c>
      <c r="I6" s="16" t="s">
        <v>22</v>
      </c>
      <c r="J6" s="18"/>
      <c r="K6" s="18"/>
      <c r="L6" s="19"/>
    </row>
    <row r="7" spans="1:12" ht="30" customHeight="1">
      <c r="B7" s="8" t="s">
        <v>23</v>
      </c>
      <c r="C7" s="9">
        <v>3.2</v>
      </c>
      <c r="D7" s="9">
        <v>4</v>
      </c>
      <c r="E7" s="10" t="s">
        <v>24</v>
      </c>
      <c r="I7" s="17" t="s">
        <v>25</v>
      </c>
      <c r="J7" s="17"/>
      <c r="K7" s="17"/>
      <c r="L7" s="17"/>
    </row>
    <row r="8" spans="1:12" ht="30" customHeight="1">
      <c r="B8" s="8" t="s">
        <v>26</v>
      </c>
      <c r="C8" s="11">
        <v>0.3</v>
      </c>
      <c r="D8" s="11">
        <v>0.5</v>
      </c>
      <c r="E8" s="10" t="s">
        <v>24</v>
      </c>
      <c r="I8" s="17" t="s">
        <v>27</v>
      </c>
      <c r="J8" s="17"/>
      <c r="K8" s="17"/>
      <c r="L8" s="17"/>
    </row>
    <row r="9" spans="1:12" ht="30" customHeight="1">
      <c r="B9" s="8" t="s">
        <v>28</v>
      </c>
      <c r="C9" s="9">
        <v>4</v>
      </c>
      <c r="D9" s="9">
        <v>6</v>
      </c>
      <c r="E9" s="10" t="s">
        <v>29</v>
      </c>
      <c r="I9" s="17" t="s">
        <v>30</v>
      </c>
      <c r="J9" s="17"/>
      <c r="K9" s="17"/>
      <c r="L9" s="17"/>
    </row>
    <row r="10" spans="1:12" ht="30" customHeight="1">
      <c r="B10" s="12" t="s">
        <v>31</v>
      </c>
      <c r="D10" s="10">
        <v>10</v>
      </c>
    </row>
    <row r="12" spans="1:12">
      <c r="A12" s="6" t="s">
        <v>32</v>
      </c>
    </row>
    <row r="13" spans="1:12" ht="42" customHeight="1">
      <c r="A13" s="7" t="s">
        <v>33</v>
      </c>
      <c r="B13" s="7" t="s">
        <v>34</v>
      </c>
      <c r="C13" s="7" t="s">
        <v>35</v>
      </c>
      <c r="D13" s="7" t="s">
        <v>36</v>
      </c>
      <c r="E13" s="7" t="s">
        <v>37</v>
      </c>
      <c r="F13" s="7" t="s">
        <v>38</v>
      </c>
      <c r="G13" s="7" t="s">
        <v>39</v>
      </c>
      <c r="H13" s="7" t="s">
        <v>40</v>
      </c>
      <c r="I13" s="7" t="s">
        <v>41</v>
      </c>
      <c r="J13" s="7" t="s">
        <v>42</v>
      </c>
      <c r="K13" s="7" t="s">
        <v>43</v>
      </c>
      <c r="L13" s="7" t="s">
        <v>21</v>
      </c>
    </row>
    <row r="14" spans="1:12" ht="21.95" customHeight="1">
      <c r="A14" s="10">
        <v>1</v>
      </c>
      <c r="B14" s="13">
        <v>126697</v>
      </c>
      <c r="C14" s="14">
        <v>0</v>
      </c>
      <c r="D14" s="9">
        <v>61</v>
      </c>
      <c r="E14" s="9">
        <v>3.2</v>
      </c>
      <c r="F14" s="11">
        <v>0.3</v>
      </c>
      <c r="G14" s="9">
        <v>4</v>
      </c>
      <c r="H14" s="15" t="str">
        <f>IF(AND(E14="",F14="",G14=""),"",IF(OR(AND(E14&lt;&gt;"",$D$7&lt;&gt;"",E14&gt;$D$7),AND(F14&lt;&gt;"",$D$8&lt;&gt;"",F14&gt;$D$8),AND(G14&lt;&gt;"",$D$9&lt;&gt;"",G14&gt;$D$9)),"✗ over a limit",IF(OR(AND(E14&lt;&gt;"",$D$7&lt;&gt;"",E14&gt;=$D$7*(1-$D$10/100)),AND(F14&lt;&gt;"",$D$8&lt;&gt;"",F14&gt;=$D$8*(1-$D$10/100)),AND(G14&lt;&gt;"",$D$9&lt;&gt;"",G14&gt;=$D$9*(1-$D$10/100))),"! near a limit","✓ all inside")))</f>
        <v/>
      </c>
      <c r="I14" s="10"/>
      <c r="J14" s="10"/>
      <c r="K14" s="10"/>
      <c r="L14" s="10"/>
    </row>
    <row r="15" spans="1:12" ht="21.95" customHeight="1">
      <c r="A15" s="10">
        <v>2</v>
      </c>
      <c r="B15" s="13">
        <v>126489</v>
      </c>
      <c r="C15" s="14">
        <v>0</v>
      </c>
      <c r="D15" s="9">
        <v>60.9</v>
      </c>
      <c r="E15" s="9">
        <v>3.1</v>
      </c>
      <c r="F15" s="11">
        <v>0.28999999999999998</v>
      </c>
      <c r="G15" s="9">
        <v>4.0999999999999996</v>
      </c>
      <c r="H15" s="15" t="str">
        <f>IF(AND(E15="",F15="",G15=""),"",IF(OR(AND(E15&lt;&gt;"",$D$7&lt;&gt;"",E15&gt;$D$7),AND(F15&lt;&gt;"",$D$8&lt;&gt;"",F15&gt;$D$8),AND(G15&lt;&gt;"",$D$9&lt;&gt;"",G15&gt;$D$9)),"✗ over a limit",IF(OR(AND(E15&lt;&gt;"",$D$7&lt;&gt;"",E15&gt;=$D$7*(1-$D$10/100)),AND(F15&lt;&gt;"",$D$8&lt;&gt;"",F15&gt;=$D$8*(1-$D$10/100)),AND(G15&lt;&gt;"",$D$9&lt;&gt;"",G15&gt;=$D$9*(1-$D$10/100))),"! near a limit","✓ all inside")))</f>
        <v/>
      </c>
      <c r="I15" s="10"/>
      <c r="J15" s="10"/>
      <c r="K15" s="10"/>
      <c r="L15" s="10"/>
    </row>
    <row r="16" spans="1:12" ht="21.95" customHeight="1">
      <c r="A16" s="10">
        <v>3</v>
      </c>
      <c r="B16" s="13">
        <v>126905</v>
      </c>
      <c r="C16" s="14">
        <v>0</v>
      </c>
      <c r="D16" s="9">
        <v>61.1</v>
      </c>
      <c r="E16" s="9">
        <v>3.3</v>
      </c>
      <c r="F16" s="11">
        <v>0.31</v>
      </c>
      <c r="G16" s="9">
        <v>3.9</v>
      </c>
      <c r="H16" s="15" t="str">
        <f>IF(AND(E16="",F16="",G16=""),"",IF(OR(AND(E16&lt;&gt;"",$D$7&lt;&gt;"",E16&gt;$D$7),AND(F16&lt;&gt;"",$D$8&lt;&gt;"",F16&gt;$D$8),AND(G16&lt;&gt;"",$D$9&lt;&gt;"",G16&gt;$D$9)),"✗ over a limit",IF(OR(AND(E16&lt;&gt;"",$D$7&lt;&gt;"",E16&gt;=$D$7*(1-$D$10/100)),AND(F16&lt;&gt;"",$D$8&lt;&gt;"",F16&gt;=$D$8*(1-$D$10/100)),AND(G16&lt;&gt;"",$D$9&lt;&gt;"",G16&gt;=$D$9*(1-$D$10/100))),"! near a limit","✓ all inside")))</f>
        <v/>
      </c>
      <c r="I16" s="10"/>
      <c r="J16" s="10"/>
      <c r="K16" s="10"/>
      <c r="L16" s="10"/>
    </row>
    <row r="17" spans="1:12" ht="21.95" customHeight="1">
      <c r="A17" s="10">
        <v>4</v>
      </c>
      <c r="B17" s="13">
        <v>126697</v>
      </c>
      <c r="C17" s="14">
        <v>0</v>
      </c>
      <c r="D17" s="9">
        <v>61</v>
      </c>
      <c r="E17" s="9">
        <v>3.2</v>
      </c>
      <c r="F17" s="11">
        <v>0.3</v>
      </c>
      <c r="G17" s="9">
        <v>4</v>
      </c>
      <c r="H17" s="15" t="str">
        <f>IF(AND(E17="",F17="",G17=""),"",IF(OR(AND(E17&lt;&gt;"",$D$7&lt;&gt;"",E17&gt;$D$7),AND(F17&lt;&gt;"",$D$8&lt;&gt;"",F17&gt;$D$8),AND(G17&lt;&gt;"",$D$9&lt;&gt;"",G17&gt;$D$9)),"✗ over a limit",IF(OR(AND(E17&lt;&gt;"",$D$7&lt;&gt;"",E17&gt;=$D$7*(1-$D$10/100)),AND(F17&lt;&gt;"",$D$8&lt;&gt;"",F17&gt;=$D$8*(1-$D$10/100)),AND(G17&lt;&gt;"",$D$9&lt;&gt;"",G17&gt;=$D$9*(1-$D$10/100))),"! near a limit","✓ all inside")))</f>
        <v/>
      </c>
      <c r="I17" s="10"/>
      <c r="J17" s="10"/>
      <c r="K17" s="10"/>
      <c r="L17" s="10"/>
    </row>
    <row r="18" spans="1:12" ht="21.95" customHeight="1">
      <c r="A18" s="10">
        <v>5</v>
      </c>
      <c r="B18" s="13">
        <v>126905</v>
      </c>
      <c r="C18" s="14">
        <v>9</v>
      </c>
      <c r="D18" s="9">
        <v>61.1</v>
      </c>
      <c r="E18" s="9">
        <v>3.2</v>
      </c>
      <c r="F18" s="11">
        <v>0.3</v>
      </c>
      <c r="G18" s="9">
        <v>4.0999999999999996</v>
      </c>
      <c r="H18" s="15" t="str">
        <f>IF(AND(E18="",F18="",G18=""),"",IF(OR(AND(E18&lt;&gt;"",$D$7&lt;&gt;"",E18&gt;$D$7),AND(F18&lt;&gt;"",$D$8&lt;&gt;"",F18&gt;$D$8),AND(G18&lt;&gt;"",$D$9&lt;&gt;"",G18&gt;$D$9)),"✗ over a limit",IF(OR(AND(E18&lt;&gt;"",$D$7&lt;&gt;"",E18&gt;=$D$7*(1-$D$10/100)),AND(F18&lt;&gt;"",$D$8&lt;&gt;"",F18&gt;=$D$8*(1-$D$10/100)),AND(G18&lt;&gt;"",$D$9&lt;&gt;"",G18&gt;=$D$9*(1-$D$10/100))),"! near a limit","✓ all inside")))</f>
        <v/>
      </c>
      <c r="I18" s="10"/>
      <c r="J18" s="10"/>
      <c r="K18" s="10"/>
      <c r="L18" s="10"/>
    </row>
    <row r="19" spans="1:12" ht="21.95" customHeight="1">
      <c r="A19" s="10">
        <v>6</v>
      </c>
      <c r="B19" s="13">
        <v>127320</v>
      </c>
      <c r="C19" s="14">
        <v>22</v>
      </c>
      <c r="D19" s="9">
        <v>61.3</v>
      </c>
      <c r="E19" s="9">
        <v>3.3</v>
      </c>
      <c r="F19" s="11">
        <v>0.31</v>
      </c>
      <c r="G19" s="9">
        <v>4</v>
      </c>
      <c r="H19" s="15" t="str">
        <f>IF(AND(E19="",F19="",G19=""),"",IF(OR(AND(E19&lt;&gt;"",$D$7&lt;&gt;"",E19&gt;$D$7),AND(F19&lt;&gt;"",$D$8&lt;&gt;"",F19&gt;$D$8),AND(G19&lt;&gt;"",$D$9&lt;&gt;"",G19&gt;$D$9)),"✗ over a limit",IF(OR(AND(E19&lt;&gt;"",$D$7&lt;&gt;"",E19&gt;=$D$7*(1-$D$10/100)),AND(F19&lt;&gt;"",$D$8&lt;&gt;"",F19&gt;=$D$8*(1-$D$10/100)),AND(G19&lt;&gt;"",$D$9&lt;&gt;"",G19&gt;=$D$9*(1-$D$10/100))),"! near a limit","✓ all inside")))</f>
        <v/>
      </c>
      <c r="I19" s="10"/>
      <c r="J19" s="10"/>
      <c r="K19" s="10"/>
      <c r="L19" s="10"/>
    </row>
    <row r="20" spans="1:12" ht="21.95" customHeight="1">
      <c r="A20" s="10">
        <v>7</v>
      </c>
      <c r="B20" s="13">
        <v>127528</v>
      </c>
      <c r="C20" s="14">
        <v>24</v>
      </c>
      <c r="D20" s="9">
        <v>61.4</v>
      </c>
      <c r="E20" s="9">
        <v>3.1</v>
      </c>
      <c r="F20" s="11">
        <v>0.3</v>
      </c>
      <c r="G20" s="9">
        <v>3.9</v>
      </c>
      <c r="H20" s="15" t="str">
        <f>IF(AND(E20="",F20="",G20=""),"",IF(OR(AND(E20&lt;&gt;"",$D$7&lt;&gt;"",E20&gt;$D$7),AND(F20&lt;&gt;"",$D$8&lt;&gt;"",F20&gt;$D$8),AND(G20&lt;&gt;"",$D$9&lt;&gt;"",G20&gt;$D$9)),"✗ over a limit",IF(OR(AND(E20&lt;&gt;"",$D$7&lt;&gt;"",E20&gt;=$D$7*(1-$D$10/100)),AND(F20&lt;&gt;"",$D$8&lt;&gt;"",F20&gt;=$D$8*(1-$D$10/100)),AND(G20&lt;&gt;"",$D$9&lt;&gt;"",G20&gt;=$D$9*(1-$D$10/100))),"! near a limit","✓ all inside")))</f>
        <v/>
      </c>
      <c r="I20" s="10"/>
      <c r="J20" s="10"/>
      <c r="K20" s="10"/>
      <c r="L20" s="10"/>
    </row>
    <row r="21" spans="1:12" ht="21.95" customHeight="1">
      <c r="A21" s="10">
        <v>8</v>
      </c>
      <c r="B21" s="13">
        <v>127736</v>
      </c>
      <c r="C21" s="14">
        <v>26</v>
      </c>
      <c r="D21" s="9">
        <v>61.5</v>
      </c>
      <c r="E21" s="9">
        <v>3.2</v>
      </c>
      <c r="F21" s="11">
        <v>0.28999999999999998</v>
      </c>
      <c r="G21" s="9">
        <v>4</v>
      </c>
      <c r="H21" s="15" t="str">
        <f>IF(AND(E21="",F21="",G21=""),"",IF(OR(AND(E21&lt;&gt;"",$D$7&lt;&gt;"",E21&gt;$D$7),AND(F21&lt;&gt;"",$D$8&lt;&gt;"",F21&gt;$D$8),AND(G21&lt;&gt;"",$D$9&lt;&gt;"",G21&gt;$D$9)),"✗ over a limit",IF(OR(AND(E21&lt;&gt;"",$D$7&lt;&gt;"",E21&gt;=$D$7*(1-$D$10/100)),AND(F21&lt;&gt;"",$D$8&lt;&gt;"",F21&gt;=$D$8*(1-$D$10/100)),AND(G21&lt;&gt;"",$D$9&lt;&gt;"",G21&gt;=$D$9*(1-$D$10/100))),"! near a limit","✓ all inside")))</f>
        <v/>
      </c>
      <c r="I21" s="10"/>
      <c r="J21" s="10"/>
      <c r="K21" s="10"/>
      <c r="L21" s="10"/>
    </row>
    <row r="22" spans="1:12" ht="21.95" customHeight="1">
      <c r="A22" s="10">
        <v>9</v>
      </c>
      <c r="B22" s="13">
        <v>128151</v>
      </c>
      <c r="C22" s="14">
        <v>28</v>
      </c>
      <c r="D22" s="9">
        <v>61.7</v>
      </c>
      <c r="E22" s="9">
        <v>3.2</v>
      </c>
      <c r="F22" s="11">
        <v>0.3</v>
      </c>
      <c r="G22" s="9">
        <v>4.0999999999999996</v>
      </c>
      <c r="H22" s="15" t="str">
        <f>IF(AND(E22="",F22="",G22=""),"",IF(OR(AND(E22&lt;&gt;"",$D$7&lt;&gt;"",E22&gt;$D$7),AND(F22&lt;&gt;"",$D$8&lt;&gt;"",F22&gt;$D$8),AND(G22&lt;&gt;"",$D$9&lt;&gt;"",G22&gt;$D$9)),"✗ over a limit",IF(OR(AND(E22&lt;&gt;"",$D$7&lt;&gt;"",E22&gt;=$D$7*(1-$D$10/100)),AND(F22&lt;&gt;"",$D$8&lt;&gt;"",F22&gt;=$D$8*(1-$D$10/100)),AND(G22&lt;&gt;"",$D$9&lt;&gt;"",G22&gt;=$D$9*(1-$D$10/100))),"! near a limit","✓ all inside")))</f>
        <v/>
      </c>
      <c r="I22" s="10"/>
      <c r="J22" s="10"/>
      <c r="K22" s="10"/>
      <c r="L22" s="10"/>
    </row>
    <row r="23" spans="1:12" ht="63.95" customHeight="1">
      <c r="A23" s="10">
        <v>10</v>
      </c>
      <c r="B23" s="13">
        <v>128359</v>
      </c>
      <c r="C23" s="14">
        <v>29</v>
      </c>
      <c r="D23" s="9">
        <v>61.8</v>
      </c>
      <c r="E23" s="9">
        <v>4.9000000000000004</v>
      </c>
      <c r="F23" s="11">
        <v>0.31</v>
      </c>
      <c r="G23" s="9">
        <v>4.3</v>
      </c>
      <c r="H23" s="15" t="str">
        <f>IF(AND(E23="",F23="",G23=""),"",IF(OR(AND(E23&lt;&gt;"",$D$7&lt;&gt;"",E23&gt;$D$7),AND(F23&lt;&gt;"",$D$8&lt;&gt;"",F23&gt;$D$8),AND(G23&lt;&gt;"",$D$9&lt;&gt;"",G23&gt;$D$9)),"✗ over a limit",IF(OR(AND(E23&lt;&gt;"",$D$7&lt;&gt;"",E23&gt;=$D$7*(1-$D$10/100)),AND(F23&lt;&gt;"",$D$8&lt;&gt;"",F23&gt;=$D$8*(1-$D$10/100)),AND(G23&lt;&gt;"",$D$9&lt;&gt;"",G23&gt;=$D$9*(1-$D$10/100))),"! near a limit","✓ all inside")))</f>
        <v/>
      </c>
      <c r="I23" s="10" t="s">
        <v>44</v>
      </c>
      <c r="J23" s="10" t="s">
        <v>45</v>
      </c>
      <c r="K23" s="10" t="s">
        <v>46</v>
      </c>
      <c r="L23" s="10" t="s">
        <v>24</v>
      </c>
    </row>
    <row r="25" spans="1:12">
      <c r="A25" s="3" t="s">
        <v>47</v>
      </c>
    </row>
    <row r="26" spans="1:12">
      <c r="A26" s="3" t="s">
        <v>13</v>
      </c>
    </row>
  </sheetData>
  <mergeCells count="4">
    <mergeCell ref="I6:L6"/>
    <mergeCell ref="I8:L8"/>
    <mergeCell ref="I7:L7"/>
    <mergeCell ref="I9:L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"/>
  <sheetViews>
    <sheetView showGridLines="0" workbookViewId="0"/>
  </sheetViews>
  <sheetFormatPr defaultRowHeight="15"/>
  <cols>
    <col min="1" max="1" width="9" customWidth="1"/>
    <col min="2" max="2" width="15" customWidth="1"/>
    <col min="3" max="4" width="12" customWidth="1"/>
    <col min="5" max="7" width="13" customWidth="1"/>
    <col min="8" max="8" width="22" customWidth="1"/>
    <col min="9" max="9" width="34" customWidth="1"/>
    <col min="10" max="10" width="26" customWidth="1"/>
    <col min="11" max="11" width="34" customWidth="1"/>
    <col min="12" max="12" width="18" customWidth="1"/>
  </cols>
  <sheetData>
    <row r="1" spans="1:12">
      <c r="A1" s="1" t="s">
        <v>48</v>
      </c>
    </row>
    <row r="2" spans="1:12" ht="24" customHeight="1">
      <c r="A2" s="2" t="s">
        <v>15</v>
      </c>
    </row>
    <row r="3" spans="1:12">
      <c r="A3" s="3" t="s">
        <v>16</v>
      </c>
    </row>
    <row r="5" spans="1:12">
      <c r="A5" s="6" t="s">
        <v>17</v>
      </c>
    </row>
    <row r="6" spans="1:12" ht="26.1" customHeight="1">
      <c r="B6" s="7" t="s">
        <v>18</v>
      </c>
      <c r="C6" s="7" t="s">
        <v>19</v>
      </c>
      <c r="D6" s="7" t="s">
        <v>20</v>
      </c>
      <c r="E6" s="7" t="s">
        <v>21</v>
      </c>
      <c r="I6" s="16" t="s">
        <v>22</v>
      </c>
      <c r="J6" s="18"/>
      <c r="K6" s="18"/>
      <c r="L6" s="19"/>
    </row>
    <row r="7" spans="1:12" ht="30" customHeight="1">
      <c r="B7" s="8"/>
      <c r="C7" s="9"/>
      <c r="D7" s="9"/>
      <c r="E7" s="10"/>
      <c r="I7" s="17"/>
      <c r="J7" s="17"/>
      <c r="K7" s="17"/>
      <c r="L7" s="17"/>
    </row>
    <row r="8" spans="1:12" ht="30" customHeight="1">
      <c r="B8" s="8"/>
      <c r="C8" s="11"/>
      <c r="D8" s="11"/>
      <c r="E8" s="10"/>
      <c r="I8" s="17"/>
      <c r="J8" s="17"/>
      <c r="K8" s="17"/>
      <c r="L8" s="17"/>
    </row>
    <row r="9" spans="1:12" ht="30" customHeight="1">
      <c r="B9" s="8"/>
      <c r="C9" s="9"/>
      <c r="D9" s="9"/>
      <c r="E9" s="10"/>
      <c r="I9" s="17"/>
      <c r="J9" s="17"/>
      <c r="K9" s="17"/>
      <c r="L9" s="17"/>
    </row>
    <row r="10" spans="1:12" ht="30" customHeight="1">
      <c r="B10" s="12" t="s">
        <v>31</v>
      </c>
      <c r="D10" s="10">
        <v>10</v>
      </c>
    </row>
    <row r="12" spans="1:12">
      <c r="A12" s="6" t="s">
        <v>32</v>
      </c>
    </row>
    <row r="13" spans="1:12" ht="42" customHeight="1">
      <c r="A13" s="7" t="s">
        <v>33</v>
      </c>
      <c r="B13" s="7" t="s">
        <v>34</v>
      </c>
      <c r="C13" s="7" t="s">
        <v>35</v>
      </c>
      <c r="D13" s="7" t="s">
        <v>36</v>
      </c>
      <c r="E13" s="7" t="s">
        <v>37</v>
      </c>
      <c r="F13" s="7" t="s">
        <v>38</v>
      </c>
      <c r="G13" s="7" t="s">
        <v>39</v>
      </c>
      <c r="H13" s="7" t="s">
        <v>40</v>
      </c>
      <c r="I13" s="7" t="s">
        <v>41</v>
      </c>
      <c r="J13" s="7" t="s">
        <v>42</v>
      </c>
      <c r="K13" s="7" t="s">
        <v>43</v>
      </c>
      <c r="L13" s="7" t="s">
        <v>21</v>
      </c>
    </row>
    <row r="14" spans="1:12" ht="21.95" customHeight="1">
      <c r="A14" s="10"/>
      <c r="B14" s="13"/>
      <c r="C14" s="14"/>
      <c r="D14" s="9"/>
      <c r="E14" s="9"/>
      <c r="F14" s="11"/>
      <c r="G14" s="9"/>
      <c r="H14" s="15" t="str">
        <f>IF(AND(E14="",F14="",G14=""),"",IF(OR(AND(E14&lt;&gt;"",$D$7&lt;&gt;"",E14&gt;$D$7),AND(F14&lt;&gt;"",$D$8&lt;&gt;"",F14&gt;$D$8),AND(G14&lt;&gt;"",$D$9&lt;&gt;"",G14&gt;$D$9)),"✗ over a limit",IF(OR(AND(E14&lt;&gt;"",$D$7&lt;&gt;"",E14&gt;=$D$7*(1-$D$10/100)),AND(F14&lt;&gt;"",$D$8&lt;&gt;"",F14&gt;=$D$8*(1-$D$10/100)),AND(G14&lt;&gt;"",$D$9&lt;&gt;"",G14&gt;=$D$9*(1-$D$10/100))),"! near a limit","✓ all inside")))</f>
        <v/>
      </c>
      <c r="I14" s="10"/>
      <c r="J14" s="10"/>
      <c r="K14" s="10"/>
      <c r="L14" s="10"/>
    </row>
    <row r="15" spans="1:12" ht="21.95" customHeight="1">
      <c r="A15" s="10"/>
      <c r="B15" s="13"/>
      <c r="C15" s="14"/>
      <c r="D15" s="9"/>
      <c r="E15" s="9"/>
      <c r="F15" s="11"/>
      <c r="G15" s="9"/>
      <c r="H15" s="15" t="str">
        <f>IF(AND(E15="",F15="",G15=""),"",IF(OR(AND(E15&lt;&gt;"",$D$7&lt;&gt;"",E15&gt;$D$7),AND(F15&lt;&gt;"",$D$8&lt;&gt;"",F15&gt;$D$8),AND(G15&lt;&gt;"",$D$9&lt;&gt;"",G15&gt;$D$9)),"✗ over a limit",IF(OR(AND(E15&lt;&gt;"",$D$7&lt;&gt;"",E15&gt;=$D$7*(1-$D$10/100)),AND(F15&lt;&gt;"",$D$8&lt;&gt;"",F15&gt;=$D$8*(1-$D$10/100)),AND(G15&lt;&gt;"",$D$9&lt;&gt;"",G15&gt;=$D$9*(1-$D$10/100))),"! near a limit","✓ all inside")))</f>
        <v/>
      </c>
      <c r="I15" s="10"/>
      <c r="J15" s="10"/>
      <c r="K15" s="10"/>
      <c r="L15" s="10"/>
    </row>
    <row r="16" spans="1:12" ht="21.95" customHeight="1">
      <c r="A16" s="10"/>
      <c r="B16" s="13"/>
      <c r="C16" s="14"/>
      <c r="D16" s="9"/>
      <c r="E16" s="9"/>
      <c r="F16" s="11"/>
      <c r="G16" s="9"/>
      <c r="H16" s="15" t="str">
        <f>IF(AND(E16="",F16="",G16=""),"",IF(OR(AND(E16&lt;&gt;"",$D$7&lt;&gt;"",E16&gt;$D$7),AND(F16&lt;&gt;"",$D$8&lt;&gt;"",F16&gt;$D$8),AND(G16&lt;&gt;"",$D$9&lt;&gt;"",G16&gt;$D$9)),"✗ over a limit",IF(OR(AND(E16&lt;&gt;"",$D$7&lt;&gt;"",E16&gt;=$D$7*(1-$D$10/100)),AND(F16&lt;&gt;"",$D$8&lt;&gt;"",F16&gt;=$D$8*(1-$D$10/100)),AND(G16&lt;&gt;"",$D$9&lt;&gt;"",G16&gt;=$D$9*(1-$D$10/100))),"! near a limit","✓ all inside")))</f>
        <v/>
      </c>
      <c r="I16" s="10"/>
      <c r="J16" s="10"/>
      <c r="K16" s="10"/>
      <c r="L16" s="10"/>
    </row>
    <row r="17" spans="1:12" ht="21.95" customHeight="1">
      <c r="A17" s="10"/>
      <c r="B17" s="13"/>
      <c r="C17" s="14"/>
      <c r="D17" s="9"/>
      <c r="E17" s="9"/>
      <c r="F17" s="11"/>
      <c r="G17" s="9"/>
      <c r="H17" s="15" t="str">
        <f>IF(AND(E17="",F17="",G17=""),"",IF(OR(AND(E17&lt;&gt;"",$D$7&lt;&gt;"",E17&gt;$D$7),AND(F17&lt;&gt;"",$D$8&lt;&gt;"",F17&gt;$D$8),AND(G17&lt;&gt;"",$D$9&lt;&gt;"",G17&gt;$D$9)),"✗ over a limit",IF(OR(AND(E17&lt;&gt;"",$D$7&lt;&gt;"",E17&gt;=$D$7*(1-$D$10/100)),AND(F17&lt;&gt;"",$D$8&lt;&gt;"",F17&gt;=$D$8*(1-$D$10/100)),AND(G17&lt;&gt;"",$D$9&lt;&gt;"",G17&gt;=$D$9*(1-$D$10/100))),"! near a limit","✓ all inside")))</f>
        <v/>
      </c>
      <c r="I17" s="10"/>
      <c r="J17" s="10"/>
      <c r="K17" s="10"/>
      <c r="L17" s="10"/>
    </row>
    <row r="18" spans="1:12" ht="21.95" customHeight="1">
      <c r="A18" s="10"/>
      <c r="B18" s="13"/>
      <c r="C18" s="14"/>
      <c r="D18" s="9"/>
      <c r="E18" s="9"/>
      <c r="F18" s="11"/>
      <c r="G18" s="9"/>
      <c r="H18" s="15" t="str">
        <f>IF(AND(E18="",F18="",G18=""),"",IF(OR(AND(E18&lt;&gt;"",$D$7&lt;&gt;"",E18&gt;$D$7),AND(F18&lt;&gt;"",$D$8&lt;&gt;"",F18&gt;$D$8),AND(G18&lt;&gt;"",$D$9&lt;&gt;"",G18&gt;$D$9)),"✗ over a limit",IF(OR(AND(E18&lt;&gt;"",$D$7&lt;&gt;"",E18&gt;=$D$7*(1-$D$10/100)),AND(F18&lt;&gt;"",$D$8&lt;&gt;"",F18&gt;=$D$8*(1-$D$10/100)),AND(G18&lt;&gt;"",$D$9&lt;&gt;"",G18&gt;=$D$9*(1-$D$10/100))),"! near a limit","✓ all inside")))</f>
        <v/>
      </c>
      <c r="I18" s="10"/>
      <c r="J18" s="10"/>
      <c r="K18" s="10"/>
      <c r="L18" s="10"/>
    </row>
    <row r="19" spans="1:12" ht="21.95" customHeight="1">
      <c r="A19" s="10"/>
      <c r="B19" s="13"/>
      <c r="C19" s="14"/>
      <c r="D19" s="9"/>
      <c r="E19" s="9"/>
      <c r="F19" s="11"/>
      <c r="G19" s="9"/>
      <c r="H19" s="15" t="str">
        <f>IF(AND(E19="",F19="",G19=""),"",IF(OR(AND(E19&lt;&gt;"",$D$7&lt;&gt;"",E19&gt;$D$7),AND(F19&lt;&gt;"",$D$8&lt;&gt;"",F19&gt;$D$8),AND(G19&lt;&gt;"",$D$9&lt;&gt;"",G19&gt;$D$9)),"✗ over a limit",IF(OR(AND(E19&lt;&gt;"",$D$7&lt;&gt;"",E19&gt;=$D$7*(1-$D$10/100)),AND(F19&lt;&gt;"",$D$8&lt;&gt;"",F19&gt;=$D$8*(1-$D$10/100)),AND(G19&lt;&gt;"",$D$9&lt;&gt;"",G19&gt;=$D$9*(1-$D$10/100))),"! near a limit","✓ all inside")))</f>
        <v/>
      </c>
      <c r="I19" s="10"/>
      <c r="J19" s="10"/>
      <c r="K19" s="10"/>
      <c r="L19" s="10"/>
    </row>
    <row r="20" spans="1:12" ht="21.95" customHeight="1">
      <c r="A20" s="10"/>
      <c r="B20" s="13"/>
      <c r="C20" s="14"/>
      <c r="D20" s="9"/>
      <c r="E20" s="9"/>
      <c r="F20" s="11"/>
      <c r="G20" s="9"/>
      <c r="H20" s="15" t="str">
        <f>IF(AND(E20="",F20="",G20=""),"",IF(OR(AND(E20&lt;&gt;"",$D$7&lt;&gt;"",E20&gt;$D$7),AND(F20&lt;&gt;"",$D$8&lt;&gt;"",F20&gt;$D$8),AND(G20&lt;&gt;"",$D$9&lt;&gt;"",G20&gt;$D$9)),"✗ over a limit",IF(OR(AND(E20&lt;&gt;"",$D$7&lt;&gt;"",E20&gt;=$D$7*(1-$D$10/100)),AND(F20&lt;&gt;"",$D$8&lt;&gt;"",F20&gt;=$D$8*(1-$D$10/100)),AND(G20&lt;&gt;"",$D$9&lt;&gt;"",G20&gt;=$D$9*(1-$D$10/100))),"! near a limit","✓ all inside")))</f>
        <v/>
      </c>
      <c r="I20" s="10"/>
      <c r="J20" s="10"/>
      <c r="K20" s="10"/>
      <c r="L20" s="10"/>
    </row>
    <row r="21" spans="1:12" ht="21.95" customHeight="1">
      <c r="A21" s="10"/>
      <c r="B21" s="13"/>
      <c r="C21" s="14"/>
      <c r="D21" s="9"/>
      <c r="E21" s="9"/>
      <c r="F21" s="11"/>
      <c r="G21" s="9"/>
      <c r="H21" s="15" t="str">
        <f>IF(AND(E21="",F21="",G21=""),"",IF(OR(AND(E21&lt;&gt;"",$D$7&lt;&gt;"",E21&gt;$D$7),AND(F21&lt;&gt;"",$D$8&lt;&gt;"",F21&gt;$D$8),AND(G21&lt;&gt;"",$D$9&lt;&gt;"",G21&gt;$D$9)),"✗ over a limit",IF(OR(AND(E21&lt;&gt;"",$D$7&lt;&gt;"",E21&gt;=$D$7*(1-$D$10/100)),AND(F21&lt;&gt;"",$D$8&lt;&gt;"",F21&gt;=$D$8*(1-$D$10/100)),AND(G21&lt;&gt;"",$D$9&lt;&gt;"",G21&gt;=$D$9*(1-$D$10/100))),"! near a limit","✓ all inside")))</f>
        <v/>
      </c>
      <c r="I21" s="10"/>
      <c r="J21" s="10"/>
      <c r="K21" s="10"/>
      <c r="L21" s="10"/>
    </row>
    <row r="22" spans="1:12" ht="21.95" customHeight="1">
      <c r="A22" s="10"/>
      <c r="B22" s="13"/>
      <c r="C22" s="14"/>
      <c r="D22" s="9"/>
      <c r="E22" s="9"/>
      <c r="F22" s="11"/>
      <c r="G22" s="9"/>
      <c r="H22" s="15" t="str">
        <f>IF(AND(E22="",F22="",G22=""),"",IF(OR(AND(E22&lt;&gt;"",$D$7&lt;&gt;"",E22&gt;$D$7),AND(F22&lt;&gt;"",$D$8&lt;&gt;"",F22&gt;$D$8),AND(G22&lt;&gt;"",$D$9&lt;&gt;"",G22&gt;$D$9)),"✗ over a limit",IF(OR(AND(E22&lt;&gt;"",$D$7&lt;&gt;"",E22&gt;=$D$7*(1-$D$10/100)),AND(F22&lt;&gt;"",$D$8&lt;&gt;"",F22&gt;=$D$8*(1-$D$10/100)),AND(G22&lt;&gt;"",$D$9&lt;&gt;"",G22&gt;=$D$9*(1-$D$10/100))),"! near a limit","✓ all inside")))</f>
        <v/>
      </c>
      <c r="I22" s="10"/>
      <c r="J22" s="10"/>
      <c r="K22" s="10"/>
      <c r="L22" s="10"/>
    </row>
    <row r="23" spans="1:12" ht="21.95" customHeight="1">
      <c r="A23" s="10"/>
      <c r="B23" s="13"/>
      <c r="C23" s="14"/>
      <c r="D23" s="9"/>
      <c r="E23" s="9"/>
      <c r="F23" s="11"/>
      <c r="G23" s="9"/>
      <c r="H23" s="15" t="str">
        <f>IF(AND(E23="",F23="",G23=""),"",IF(OR(AND(E23&lt;&gt;"",$D$7&lt;&gt;"",E23&gt;$D$7),AND(F23&lt;&gt;"",$D$8&lt;&gt;"",F23&gt;$D$8),AND(G23&lt;&gt;"",$D$9&lt;&gt;"",G23&gt;$D$9)),"✗ over a limit",IF(OR(AND(E23&lt;&gt;"",$D$7&lt;&gt;"",E23&gt;=$D$7*(1-$D$10/100)),AND(F23&lt;&gt;"",$D$8&lt;&gt;"",F23&gt;=$D$8*(1-$D$10/100)),AND(G23&lt;&gt;"",$D$9&lt;&gt;"",G23&gt;=$D$9*(1-$D$10/100))),"! near a limit","✓ all inside")))</f>
        <v/>
      </c>
      <c r="I23" s="10"/>
      <c r="J23" s="10"/>
      <c r="K23" s="10"/>
      <c r="L23" s="10"/>
    </row>
    <row r="24" spans="1:12" ht="21.95" customHeight="1">
      <c r="A24" s="10"/>
      <c r="B24" s="13"/>
      <c r="C24" s="14"/>
      <c r="D24" s="9"/>
      <c r="E24" s="9"/>
      <c r="F24" s="11"/>
      <c r="G24" s="9"/>
      <c r="H24" s="15" t="str">
        <f>IF(AND(E24="",F24="",G24=""),"",IF(OR(AND(E24&lt;&gt;"",$D$7&lt;&gt;"",E24&gt;$D$7),AND(F24&lt;&gt;"",$D$8&lt;&gt;"",F24&gt;$D$8),AND(G24&lt;&gt;"",$D$9&lt;&gt;"",G24&gt;$D$9)),"✗ over a limit",IF(OR(AND(E24&lt;&gt;"",$D$7&lt;&gt;"",E24&gt;=$D$7*(1-$D$10/100)),AND(F24&lt;&gt;"",$D$8&lt;&gt;"",F24&gt;=$D$8*(1-$D$10/100)),AND(G24&lt;&gt;"",$D$9&lt;&gt;"",G24&gt;=$D$9*(1-$D$10/100))),"! near a limit","✓ all inside")))</f>
        <v/>
      </c>
      <c r="I24" s="10"/>
      <c r="J24" s="10"/>
      <c r="K24" s="10"/>
      <c r="L24" s="10"/>
    </row>
    <row r="25" spans="1:12" ht="21.95" customHeight="1">
      <c r="A25" s="10"/>
      <c r="B25" s="13"/>
      <c r="C25" s="14"/>
      <c r="D25" s="9"/>
      <c r="E25" s="9"/>
      <c r="F25" s="11"/>
      <c r="G25" s="9"/>
      <c r="H25" s="15" t="str">
        <f>IF(AND(E25="",F25="",G25=""),"",IF(OR(AND(E25&lt;&gt;"",$D$7&lt;&gt;"",E25&gt;$D$7),AND(F25&lt;&gt;"",$D$8&lt;&gt;"",F25&gt;$D$8),AND(G25&lt;&gt;"",$D$9&lt;&gt;"",G25&gt;$D$9)),"✗ over a limit",IF(OR(AND(E25&lt;&gt;"",$D$7&lt;&gt;"",E25&gt;=$D$7*(1-$D$10/100)),AND(F25&lt;&gt;"",$D$8&lt;&gt;"",F25&gt;=$D$8*(1-$D$10/100)),AND(G25&lt;&gt;"",$D$9&lt;&gt;"",G25&gt;=$D$9*(1-$D$10/100))),"! near a limit","✓ all inside")))</f>
        <v/>
      </c>
      <c r="I25" s="10"/>
      <c r="J25" s="10"/>
      <c r="K25" s="10"/>
      <c r="L25" s="10"/>
    </row>
    <row r="26" spans="1:12" ht="21.95" customHeight="1">
      <c r="A26" s="10"/>
      <c r="B26" s="13"/>
      <c r="C26" s="14"/>
      <c r="D26" s="9"/>
      <c r="E26" s="9"/>
      <c r="F26" s="11"/>
      <c r="G26" s="9"/>
      <c r="H26" s="15" t="str">
        <f>IF(AND(E26="",F26="",G26=""),"",IF(OR(AND(E26&lt;&gt;"",$D$7&lt;&gt;"",E26&gt;$D$7),AND(F26&lt;&gt;"",$D$8&lt;&gt;"",F26&gt;$D$8),AND(G26&lt;&gt;"",$D$9&lt;&gt;"",G26&gt;$D$9)),"✗ over a limit",IF(OR(AND(E26&lt;&gt;"",$D$7&lt;&gt;"",E26&gt;=$D$7*(1-$D$10/100)),AND(F26&lt;&gt;"",$D$8&lt;&gt;"",F26&gt;=$D$8*(1-$D$10/100)),AND(G26&lt;&gt;"",$D$9&lt;&gt;"",G26&gt;=$D$9*(1-$D$10/100))),"! near a limit","✓ all inside")))</f>
        <v/>
      </c>
      <c r="I26" s="10"/>
      <c r="J26" s="10"/>
      <c r="K26" s="10"/>
      <c r="L26" s="10"/>
    </row>
    <row r="29" spans="1:12">
      <c r="A29" s="3" t="s">
        <v>13</v>
      </c>
    </row>
  </sheetData>
  <mergeCells count="4">
    <mergeCell ref="I6:L6"/>
    <mergeCell ref="I8:L8"/>
    <mergeCell ref="I7:L7"/>
    <mergeCell ref="I9:L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showGridLines="0" workbookViewId="0"/>
  </sheetViews>
  <sheetFormatPr defaultRowHeight="15"/>
  <cols>
    <col min="1" max="1" width="34" customWidth="1"/>
    <col min="2" max="5" width="30" customWidth="1"/>
  </cols>
  <sheetData>
    <row r="1" spans="1:5">
      <c r="A1" s="1" t="s">
        <v>49</v>
      </c>
    </row>
    <row r="2" spans="1:5" ht="24" customHeight="1">
      <c r="A2" s="2" t="s">
        <v>50</v>
      </c>
    </row>
    <row r="3" spans="1:5">
      <c r="A3" s="3" t="s">
        <v>51</v>
      </c>
    </row>
    <row r="5" spans="1:5" ht="30" customHeight="1">
      <c r="A5" s="7" t="s">
        <v>52</v>
      </c>
      <c r="B5" s="7" t="s">
        <v>53</v>
      </c>
      <c r="C5" s="7" t="s">
        <v>54</v>
      </c>
      <c r="D5" s="7" t="s">
        <v>55</v>
      </c>
      <c r="E5" s="7" t="s">
        <v>56</v>
      </c>
    </row>
    <row r="6" spans="1:5" ht="51.95" customHeight="1">
      <c r="A6" s="8" t="s">
        <v>57</v>
      </c>
      <c r="B6" s="10" t="s">
        <v>58</v>
      </c>
      <c r="C6" s="10" t="s">
        <v>59</v>
      </c>
      <c r="D6" s="10" t="s">
        <v>60</v>
      </c>
      <c r="E6" s="10" t="s">
        <v>61</v>
      </c>
    </row>
    <row r="7" spans="1:5" ht="51.95" customHeight="1">
      <c r="A7" s="8" t="s">
        <v>62</v>
      </c>
      <c r="B7" s="10" t="s">
        <v>63</v>
      </c>
      <c r="C7" s="10" t="s">
        <v>64</v>
      </c>
      <c r="D7" s="10" t="s">
        <v>65</v>
      </c>
      <c r="E7" s="10" t="s">
        <v>66</v>
      </c>
    </row>
    <row r="8" spans="1:5" ht="51.95" customHeight="1">
      <c r="A8" s="8" t="s">
        <v>67</v>
      </c>
      <c r="B8" s="10" t="s">
        <v>68</v>
      </c>
      <c r="C8" s="10" t="s">
        <v>69</v>
      </c>
      <c r="D8" s="10" t="s">
        <v>70</v>
      </c>
      <c r="E8" s="10" t="s">
        <v>71</v>
      </c>
    </row>
    <row r="9" spans="1:5" ht="51.95" customHeight="1">
      <c r="A9" s="8" t="s">
        <v>72</v>
      </c>
      <c r="B9" s="10" t="s">
        <v>73</v>
      </c>
      <c r="C9" s="10" t="s">
        <v>74</v>
      </c>
      <c r="D9" s="10" t="s">
        <v>75</v>
      </c>
      <c r="E9" s="10" t="s">
        <v>76</v>
      </c>
    </row>
    <row r="11" spans="1:5">
      <c r="A11" s="3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showGridLines="0" workbookViewId="0"/>
  </sheetViews>
  <sheetFormatPr defaultRowHeight="15"/>
  <cols>
    <col min="1" max="1" width="34" customWidth="1"/>
    <col min="2" max="5" width="30" customWidth="1"/>
  </cols>
  <sheetData>
    <row r="1" spans="1:5">
      <c r="A1" s="1" t="s">
        <v>77</v>
      </c>
    </row>
    <row r="2" spans="1:5" ht="24" customHeight="1">
      <c r="A2" s="2" t="s">
        <v>50</v>
      </c>
    </row>
    <row r="3" spans="1:5">
      <c r="A3" s="3" t="s">
        <v>51</v>
      </c>
    </row>
    <row r="5" spans="1:5" ht="30" customHeight="1">
      <c r="A5" s="7" t="s">
        <v>52</v>
      </c>
      <c r="B5" s="7" t="s">
        <v>53</v>
      </c>
      <c r="C5" s="7" t="s">
        <v>54</v>
      </c>
      <c r="D5" s="7" t="s">
        <v>55</v>
      </c>
      <c r="E5" s="7" t="s">
        <v>56</v>
      </c>
    </row>
    <row r="6" spans="1:5" ht="51.95" customHeight="1">
      <c r="A6" s="10"/>
      <c r="B6" s="10"/>
      <c r="C6" s="10"/>
      <c r="D6" s="10"/>
      <c r="E6" s="10"/>
    </row>
    <row r="7" spans="1:5" ht="51.95" customHeight="1">
      <c r="A7" s="10"/>
      <c r="B7" s="10"/>
      <c r="C7" s="10"/>
      <c r="D7" s="10"/>
      <c r="E7" s="10"/>
    </row>
    <row r="8" spans="1:5" ht="51.95" customHeight="1">
      <c r="A8" s="10"/>
      <c r="B8" s="10"/>
      <c r="C8" s="10"/>
      <c r="D8" s="10"/>
      <c r="E8" s="10"/>
    </row>
    <row r="9" spans="1:5" ht="51.95" customHeight="1">
      <c r="A9" s="10"/>
      <c r="B9" s="10"/>
      <c r="C9" s="10"/>
      <c r="D9" s="10"/>
      <c r="E9" s="10"/>
    </row>
    <row r="10" spans="1:5" ht="51.95" customHeight="1">
      <c r="A10" s="10"/>
      <c r="B10" s="10"/>
      <c r="C10" s="10"/>
      <c r="D10" s="10"/>
      <c r="E10" s="10"/>
    </row>
    <row r="11" spans="1:5" ht="51.95" customHeight="1">
      <c r="A11" s="10"/>
      <c r="B11" s="10"/>
      <c r="C11" s="10"/>
      <c r="D11" s="10"/>
      <c r="E11" s="10"/>
    </row>
    <row r="12" spans="1:5" ht="51.95" customHeight="1">
      <c r="A12" s="10"/>
      <c r="B12" s="10"/>
      <c r="C12" s="10"/>
      <c r="D12" s="10"/>
      <c r="E12" s="10"/>
    </row>
    <row r="13" spans="1:5" ht="51.95" customHeight="1">
      <c r="A13" s="10"/>
      <c r="B13" s="10"/>
      <c r="C13" s="10"/>
      <c r="D13" s="10"/>
      <c r="E13" s="10"/>
    </row>
    <row r="15" spans="1:5">
      <c r="A15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2026-10-25T17:52:33Z</dcterms:created>
  <dcterms:modified xsi:type="dcterms:W3CDTF">2026-10-28T07:13:18Z</dcterms:modified>
  <cp:category/>
  <cp:contentStatus/>
</cp:coreProperties>
</file>